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slicers/slicer1.xml" ContentType="application/vnd.ms-excel.slicer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tony\Desktop\Portfolio\html-css-js-portfolio-main\assets\"/>
    </mc:Choice>
  </mc:AlternateContent>
  <xr:revisionPtr revIDLastSave="0" documentId="13_ncr:1_{BC51C661-2717-49AB-B98F-B729E50055F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Table" sheetId="3" r:id="rId1"/>
    <sheet name="Pivot" sheetId="5" r:id="rId2"/>
    <sheet name="Filtrar" sheetId="8" r:id="rId3"/>
    <sheet name="Mensaje Final" sheetId="9" r:id="rId4"/>
  </sheets>
  <definedNames>
    <definedName name="DatosExternos_1" localSheetId="0" hidden="1">Table!$A$1:$A$39</definedName>
    <definedName name="ExternalData_1" localSheetId="2" hidden="1">Filtrar!$X$1:$Z$1001</definedName>
    <definedName name="SegmentaciónDeDatos_distrito">#N/A</definedName>
    <definedName name="tabla_01">inei_project[#All]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F2" i="3" s="1"/>
  <c r="E3" i="3"/>
  <c r="F3" i="3" s="1"/>
  <c r="E4" i="3"/>
  <c r="F4" i="3" s="1"/>
  <c r="E5" i="3"/>
  <c r="F5" i="3" s="1"/>
  <c r="E6" i="3"/>
  <c r="F6" i="3" s="1"/>
  <c r="E7" i="3"/>
  <c r="F7" i="3" s="1"/>
  <c r="E8" i="3"/>
  <c r="F8" i="3" s="1"/>
  <c r="E9" i="3"/>
  <c r="F9" i="3" s="1"/>
  <c r="E10" i="3"/>
  <c r="F10" i="3" s="1"/>
  <c r="E11" i="3"/>
  <c r="F11" i="3" s="1"/>
  <c r="E12" i="3"/>
  <c r="F12" i="3" s="1"/>
  <c r="E13" i="3"/>
  <c r="F13" i="3" s="1"/>
  <c r="E14" i="3"/>
  <c r="F14" i="3" s="1"/>
  <c r="E15" i="3"/>
  <c r="F15" i="3" s="1"/>
  <c r="E16" i="3"/>
  <c r="E17" i="3"/>
  <c r="F17" i="3" s="1"/>
  <c r="E18" i="3"/>
  <c r="F18" i="3" s="1"/>
  <c r="E19" i="3"/>
  <c r="F19" i="3" s="1"/>
  <c r="E20" i="3"/>
  <c r="F20" i="3" s="1"/>
  <c r="E21" i="3"/>
  <c r="F21" i="3" s="1"/>
  <c r="E22" i="3"/>
  <c r="F22" i="3" s="1"/>
  <c r="E23" i="3"/>
  <c r="F23" i="3" s="1"/>
  <c r="E24" i="3"/>
  <c r="F24" i="3" s="1"/>
  <c r="E25" i="3"/>
  <c r="J29" i="3" s="1"/>
  <c r="E26" i="3"/>
  <c r="F26" i="3" s="1"/>
  <c r="E27" i="3"/>
  <c r="F27" i="3" s="1"/>
  <c r="E28" i="3"/>
  <c r="F28" i="3" s="1"/>
  <c r="E29" i="3"/>
  <c r="F29" i="3" s="1"/>
  <c r="E30" i="3"/>
  <c r="F30" i="3" s="1"/>
  <c r="E31" i="3"/>
  <c r="F31" i="3" s="1"/>
  <c r="E32" i="3"/>
  <c r="F32" i="3" s="1"/>
  <c r="E33" i="3"/>
  <c r="F33" i="3" s="1"/>
  <c r="E34" i="3"/>
  <c r="F34" i="3" s="1"/>
  <c r="E35" i="3"/>
  <c r="F35" i="3" s="1"/>
  <c r="E36" i="3"/>
  <c r="F36" i="3" s="1"/>
  <c r="E37" i="3"/>
  <c r="J30" i="3" s="1"/>
  <c r="E38" i="3"/>
  <c r="F38" i="3" s="1"/>
  <c r="E39" i="3"/>
  <c r="F39" i="3" s="1"/>
  <c r="J31" i="3"/>
  <c r="A5" i="9"/>
  <c r="A12" i="9"/>
  <c r="A11" i="9"/>
  <c r="A10" i="9"/>
  <c r="A8" i="9"/>
  <c r="A7" i="9"/>
  <c r="A6" i="9"/>
  <c r="A4" i="8" a="1"/>
  <c r="A4" i="8" s="1"/>
  <c r="F27" i="5"/>
  <c r="F28" i="5"/>
  <c r="F29" i="5"/>
  <c r="F30" i="5"/>
  <c r="F26" i="5"/>
  <c r="G20" i="5"/>
  <c r="I22" i="3"/>
  <c r="J34" i="3"/>
  <c r="I29" i="3"/>
  <c r="I30" i="3"/>
  <c r="I31" i="3"/>
  <c r="I32" i="3"/>
  <c r="I33" i="3"/>
  <c r="I34" i="3"/>
  <c r="I28" i="3"/>
  <c r="J28" i="3"/>
  <c r="J32" i="3"/>
  <c r="J33" i="3"/>
  <c r="J22" i="3" l="1"/>
  <c r="F25" i="3"/>
  <c r="F16" i="3"/>
  <c r="F3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0BA24D-223D-4916-873B-A0152E0179C0}" keepAlive="1" name="Consulta - inei project" description="Conexión a la consulta 'inei project' en el libro." type="5" refreshedVersion="8" background="1" saveData="1">
    <dbPr connection="Provider=Microsoft.Mashup.OleDb.1;Data Source=$Workbook$;Location=&quot;inei project&quot;;Extended Properties=&quot;&quot;" command="SELECT * FROM [inei project]"/>
  </connection>
  <connection id="2" xr16:uid="{00CE4AA2-ED32-47CF-8435-7F59E8783485}" keepAlive="1" name="Consulta - inei project_pivot" description="Conexión a la consulta 'inei project_pivot' en el libro." type="5" refreshedVersion="0" background="1">
    <dbPr connection="Provider=Microsoft.Mashup.OleDb.1;Data Source=$Workbook$;Location=&quot;inei project_pivot&quot;;Extended Properties=&quot;&quot;" command="SELECT * FROM [inei project_pivot]"/>
  </connection>
  <connection id="3" xr16:uid="{99BB21BC-6A23-4F19-8125-5B6570C8F4F3}" keepAlive="1" name="Query - inei project_pivot_productname" description="Connection to the 'inei project_pivot_productname' query in the workbook." type="5" refreshedVersion="8" background="1" saveData="1">
    <dbPr connection="Provider=Microsoft.Mashup.OleDb.1;Data Source=$Workbook$;Location=&quot;inei project_pivot_productname&quot;;Extended Properties=&quot;&quot;" command="SELECT * FROM [inei project_pivot_productname]"/>
  </connection>
  <connection id="4" xr16:uid="{F221F792-1D06-4AE6-AC00-5830127B8DA2}" keepAlive="1" name="Query - inei project_pivot_productname (2)" description="Connection to the 'inei project_pivot_productname (2)' query in the workbook." type="5" refreshedVersion="8" background="1" saveData="1">
    <dbPr connection="Provider=Microsoft.Mashup.OleDb.1;Data Source=$Workbook$;Location=&quot;inei project_pivot_productname (2)&quot;;Extended Properties=&quot;&quot;" command="SELECT * FROM [inei project_pivot_productname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<sst xmlns="http://schemas.openxmlformats.org/spreadsheetml/2006/main" count="4118" uniqueCount="904">
  <si>
    <t>product_name</t>
  </si>
  <si>
    <t>HUEVO DE GALLINA ROSADO A GRANEL</t>
  </si>
  <si>
    <t>LECHE EVAPORADA</t>
  </si>
  <si>
    <t>ARROZ CORRIENTE A GRANEL</t>
  </si>
  <si>
    <t>GALLINA EVISCERADA</t>
  </si>
  <si>
    <t>TOMATE REDONDO</t>
  </si>
  <si>
    <t>CEBOLLA ROJA</t>
  </si>
  <si>
    <t>PAPA BLANCA</t>
  </si>
  <si>
    <t>ZAPALLO MACRE</t>
  </si>
  <si>
    <t>YUCA BLANCA</t>
  </si>
  <si>
    <t>PAPAYA COMUN</t>
  </si>
  <si>
    <t>NARANJA DE JUGO</t>
  </si>
  <si>
    <t>LIMON AGRIO</t>
  </si>
  <si>
    <t>AZUCAR RUBIA A GRANEL</t>
  </si>
  <si>
    <t>PEJE BLANCO FRESCO</t>
  </si>
  <si>
    <t>CAFE INSTANTANEO ENVASADO</t>
  </si>
  <si>
    <t>PLATANO DE SEDA</t>
  </si>
  <si>
    <t>UVA NEGRA</t>
  </si>
  <si>
    <t>TOSTADA A GRANEL</t>
  </si>
  <si>
    <t>QUESO FRESCO VACA</t>
  </si>
  <si>
    <t>AJI PIMIENTO</t>
  </si>
  <si>
    <t>AJI ESCABECHE</t>
  </si>
  <si>
    <t>CULANTRO ENTERO</t>
  </si>
  <si>
    <t>PI A GOLDEN</t>
  </si>
  <si>
    <t>AJINOMOTO ENVASADO</t>
  </si>
  <si>
    <t>PALTA CRIOLLA</t>
  </si>
  <si>
    <t>PAN VARIADO O COMUN</t>
  </si>
  <si>
    <t>TAMAL VERDE POLLO SERVIDO</t>
  </si>
  <si>
    <t>ACEITE VEGETAL ENVASADO</t>
  </si>
  <si>
    <t>AJO ENTERO PELADO</t>
  </si>
  <si>
    <t>CEBOLLA CHINA</t>
  </si>
  <si>
    <t>COSTILLA DE CABRITO</t>
  </si>
  <si>
    <t>FRESA</t>
  </si>
  <si>
    <t>MANGO DE PLANTA</t>
  </si>
  <si>
    <t>SAL YODADA DE MESA</t>
  </si>
  <si>
    <t>COSTILLA DE CHANCHO</t>
  </si>
  <si>
    <t>FREJOL BAYO A GRANEL</t>
  </si>
  <si>
    <t>PLATANO VERDE</t>
  </si>
  <si>
    <t>HIERBA BUENA</t>
  </si>
  <si>
    <t>PAPEL HIGIENICO</t>
  </si>
  <si>
    <t>MAYONESA ENVASADA</t>
  </si>
  <si>
    <t>JAMONADA ENVASADA</t>
  </si>
  <si>
    <t>AVENA ENVASADA</t>
  </si>
  <si>
    <t>ARROZ CON PATO Y PAPA A LA HUANCAINA</t>
  </si>
  <si>
    <t>ARROZ COPUS DE CHANCO SALSA CRIOLLA</t>
  </si>
  <si>
    <t>CHICHA MORADA SERVIDA</t>
  </si>
  <si>
    <t>POLLO A LA BRASA</t>
  </si>
  <si>
    <t>GASEOSA RETORNABLE SERVIDA</t>
  </si>
  <si>
    <t>ARBOL NAVIDE O</t>
  </si>
  <si>
    <t>ADORNOS NAVIDE OS</t>
  </si>
  <si>
    <t>BOMBITAS NAVIDE AS</t>
  </si>
  <si>
    <t>CORONA NAVIDE A</t>
  </si>
  <si>
    <t>GUIRNALDA NAVIDE A</t>
  </si>
  <si>
    <t>EXTENSION DE CORRIENTE</t>
  </si>
  <si>
    <t>PINTURA</t>
  </si>
  <si>
    <t>RODILLO PARA PINTAR</t>
  </si>
  <si>
    <t>RAMO DE FLORES NATURALES</t>
  </si>
  <si>
    <t>CELEBRACION DE REZO</t>
  </si>
  <si>
    <t>MANO DE OBRA PINTOR</t>
  </si>
  <si>
    <t>SIERRA FRESCA</t>
  </si>
  <si>
    <t>POLLO EVISCERADO</t>
  </si>
  <si>
    <t>LECHUGA CRIOLLA</t>
  </si>
  <si>
    <t>ACEITUNA NEGRA</t>
  </si>
  <si>
    <t>GRANADILLA</t>
  </si>
  <si>
    <t>JABON PARA LAVAR ROPA</t>
  </si>
  <si>
    <t>CABRILLA FRESCA</t>
  </si>
  <si>
    <t>FIDEO TALLARIN ENVASADO</t>
  </si>
  <si>
    <t>ALBAHACA ENTERA</t>
  </si>
  <si>
    <t>HUACATAY ENTERO</t>
  </si>
  <si>
    <t>GALLETA DE SODA ENVASADA</t>
  </si>
  <si>
    <t>ALMUERZO MENU</t>
  </si>
  <si>
    <t>PASAJE EN MOTOTAXI</t>
  </si>
  <si>
    <t>GALLETA DE SODA A GRANEL</t>
  </si>
  <si>
    <t>AGUA DE MESA SIN GAS</t>
  </si>
  <si>
    <t>SANDWICH DE POLLO</t>
  </si>
  <si>
    <t>GASEOSA NO RETORNABLE</t>
  </si>
  <si>
    <t>CAMOTE MORADO</t>
  </si>
  <si>
    <t>RECARGA VIRTUAL DE CELULAR</t>
  </si>
  <si>
    <t>TE FILTRANTE</t>
  </si>
  <si>
    <t>HUMITAS</t>
  </si>
  <si>
    <t>MANDARINA</t>
  </si>
  <si>
    <t>ARROZ CON TOLLITO Y CHICHA MORADA</t>
  </si>
  <si>
    <t>ARROZ CON ESCABECHE DE PESCADO Y JUGO DE MARACUYA</t>
  </si>
  <si>
    <t>SANDWICH DE CARNE</t>
  </si>
  <si>
    <t>LECHE FRESCA DE SOYA</t>
  </si>
  <si>
    <t>ARROZ CON LENTEJA Y MOLLEJAS FRITA Y NARANJADA</t>
  </si>
  <si>
    <t>MANZANA CHILENA</t>
  </si>
  <si>
    <t>CEVICHE MIXTO</t>
  </si>
  <si>
    <t>CUOTA PARA COMPRA DE CANASTA NAVIDE A</t>
  </si>
  <si>
    <t>PECHUGA DE POLLO</t>
  </si>
  <si>
    <t>CORTE DE CABELLO PARA NI O</t>
  </si>
  <si>
    <t>MELON</t>
  </si>
  <si>
    <t>GRATED DE ATUN</t>
  </si>
  <si>
    <t>TALLARINES ROJOS DE CARNE Y REFRESCO DE NARANJA</t>
  </si>
  <si>
    <t>SOPA DE POLLO ARROZ CON CHAUFA DE POLLO Y LIMONADA</t>
  </si>
  <si>
    <t>PLATANO MADURO</t>
  </si>
  <si>
    <t>ARROZ CON PESCADO FRITO Y LIMONADA</t>
  </si>
  <si>
    <t>MORTADELA ENVASADA</t>
  </si>
  <si>
    <t>FILETE DE ATUN</t>
  </si>
  <si>
    <t>LENTEJA A GRANEL</t>
  </si>
  <si>
    <t>CARNE DE RES SIN HUESO</t>
  </si>
  <si>
    <t>MAICENA ENVASADA</t>
  </si>
  <si>
    <t>ARROZ CON LENTEJA PESCADO FRITO Y LIMONADA</t>
  </si>
  <si>
    <t>CANELA ENTERA A GRANEL</t>
  </si>
  <si>
    <t>CLAVO DE OLOR A GRANEL</t>
  </si>
  <si>
    <t>APIO</t>
  </si>
  <si>
    <t>AJO ENTERO SIN PELAR</t>
  </si>
  <si>
    <t>PAPA AMARILLA</t>
  </si>
  <si>
    <t>OREGANO SECO ENVASADO</t>
  </si>
  <si>
    <t>KION ENTERO A GRANEL</t>
  </si>
  <si>
    <t>PROPINA PARA HIJO</t>
  </si>
  <si>
    <t>PROPINA PARA HIJA</t>
  </si>
  <si>
    <t>TOALLA HIGIENICA</t>
  </si>
  <si>
    <t>FOTOCOPIA BLANCO Y NEGRO</t>
  </si>
  <si>
    <t>PIJAMA HOMBRE</t>
  </si>
  <si>
    <t>PLATO DESCARTABLE</t>
  </si>
  <si>
    <t>CARTERA</t>
  </si>
  <si>
    <t>PI A EN RODAJA</t>
  </si>
  <si>
    <t>SERVICIO EN CENTRO VACACIONAL</t>
  </si>
  <si>
    <t>PASAJE COLECTIVO</t>
  </si>
  <si>
    <t>PAN CAFE Y HUEVO FRITO</t>
  </si>
  <si>
    <t>ARROZ CON MENESTRA Y ESTOFADO DE POLLO Y NARANJADA</t>
  </si>
  <si>
    <t>CENA MENU</t>
  </si>
  <si>
    <t>CHAMPU ADULTO</t>
  </si>
  <si>
    <t>PERIODICO</t>
  </si>
  <si>
    <t>PAN CAFE Y TAMAL</t>
  </si>
  <si>
    <t>REPARACION DE CALZADO ADULTO</t>
  </si>
  <si>
    <t>ARROZ CON TALLARIN DE POLLO Y LIMONADA</t>
  </si>
  <si>
    <t>SANDIA EN TAJADA</t>
  </si>
  <si>
    <t>PASTILLA PARA LA INFLAMACION Y DOLOR LEVE</t>
  </si>
  <si>
    <t>PAN CON JAMONADA Y AVENA</t>
  </si>
  <si>
    <t>PLATANO DE LA ISLA</t>
  </si>
  <si>
    <t>ARROZ CON CARNE FRITA MADURO FRITO SALSA CRIOLLA Y LIMONADA</t>
  </si>
  <si>
    <t>PASTILLA PARA EL DOLOR DE RI ONES</t>
  </si>
  <si>
    <t>MAJADO CON HUEVO FRITO Y CAFE</t>
  </si>
  <si>
    <t>RASPADILLA SERVIDO</t>
  </si>
  <si>
    <t>SOPA DE BOLAS ARROZ CON CARNE FRITA PURE DE PAPA Y LIMONADA</t>
  </si>
  <si>
    <t>CAFE CON PAN Y TORTILLA</t>
  </si>
  <si>
    <t>ARROZ CON TORTILLA DE HUEVO Y TE</t>
  </si>
  <si>
    <t>MAZAMORRA PREPARADA</t>
  </si>
  <si>
    <t>MOLIDO CON HUEVO FRITO Y CAFE</t>
  </si>
  <si>
    <t>ARROZ CON MONDONGO Y LIMONADA</t>
  </si>
  <si>
    <t>SANDIA EN RODAJA</t>
  </si>
  <si>
    <t>ARROZ CON HUEVO FRITO Y TE</t>
  </si>
  <si>
    <t>PAN CAFE Y JAMONADA</t>
  </si>
  <si>
    <t>ARROZ CON MENESTRA Y POLLO HORNADO Y LIMONADA</t>
  </si>
  <si>
    <t>SOPA AGUADITO Y CAFE</t>
  </si>
  <si>
    <t>ZANAHORIA ENTERA</t>
  </si>
  <si>
    <t>MARACUYA</t>
  </si>
  <si>
    <t>PAN CORRIENTE O COMUN</t>
  </si>
  <si>
    <t>BONITO FRESCO</t>
  </si>
  <si>
    <t>ARVERJA VERDE CRIOLLA CON VAINA</t>
  </si>
  <si>
    <t>PALILLO ENVASADO</t>
  </si>
  <si>
    <t>VERDURA PICADA</t>
  </si>
  <si>
    <t>MONDONGO DE RES</t>
  </si>
  <si>
    <t>ZUCO FRESCO</t>
  </si>
  <si>
    <t>ACEITUNA NEGRA A GRANEL</t>
  </si>
  <si>
    <t>CACHEMA FRESCA</t>
  </si>
  <si>
    <t>SAZONADOR EN POLVO ENVASADO</t>
  </si>
  <si>
    <t>AJO ENTERO A GRANEL</t>
  </si>
  <si>
    <t>GELATINA ENVASADA</t>
  </si>
  <si>
    <t>FIDEOS DE PASTA LARGA ENVASADOS</t>
  </si>
  <si>
    <t>ESPINACA</t>
  </si>
  <si>
    <t>PIMIENTA MOLIDA ENVASADA</t>
  </si>
  <si>
    <t>COMINO MOLIDO ENVASADO</t>
  </si>
  <si>
    <t>CHURRASCO DE RES</t>
  </si>
  <si>
    <t>AGUA DE TAMARINDO SERVIDO</t>
  </si>
  <si>
    <t>HARINA DE TRIGO SIN PREPARAR ENVASADA</t>
  </si>
  <si>
    <t>MOLLEJAS DE POLLO</t>
  </si>
  <si>
    <t>GELATINA A GRANEL</t>
  </si>
  <si>
    <t>PI A ENTERA</t>
  </si>
  <si>
    <t>PASAJE EN MOTOKAR</t>
  </si>
  <si>
    <t>MANTEQUILLA ENVASADA</t>
  </si>
  <si>
    <t>MOLLEJA DE POLLO</t>
  </si>
  <si>
    <t>CLAVO ENTERO A GRANEL</t>
  </si>
  <si>
    <t>AJI PANCA MOLIDO</t>
  </si>
  <si>
    <t>PRODUCTO ACHOCOLATADO EN POLVO</t>
  </si>
  <si>
    <t>MENUDENCIA DE POLLO</t>
  </si>
  <si>
    <t>CERVEZA BLANCA</t>
  </si>
  <si>
    <t>MORAS</t>
  </si>
  <si>
    <t>MISTURIADO PREPARADO</t>
  </si>
  <si>
    <t>ARROZ CHAUFA</t>
  </si>
  <si>
    <t>COCOA ENVASADA</t>
  </si>
  <si>
    <t>PASTA DENTAL GRANDE</t>
  </si>
  <si>
    <t>JABON DE TOCADOR EN BARRA</t>
  </si>
  <si>
    <t>TOMATE ROJO</t>
  </si>
  <si>
    <t>MEZCLA LACTEA COMPUESTA</t>
  </si>
  <si>
    <t>TAMAL POLLO SERVIDO</t>
  </si>
  <si>
    <t>CEBADA TOSTADA SOLUBLE</t>
  </si>
  <si>
    <t>REPOLLO</t>
  </si>
  <si>
    <t>ACEITE VEGETAL A GRANEL</t>
  </si>
  <si>
    <t>SOYA PREPARADA</t>
  </si>
  <si>
    <t>AGUA DE MANZANA</t>
  </si>
  <si>
    <t>HIGADO DE POLLO</t>
  </si>
  <si>
    <t>AVENA PREPARADA</t>
  </si>
  <si>
    <t>CONSULTA AL CARDIOLOGO</t>
  </si>
  <si>
    <t>CAFE SERVIDO</t>
  </si>
  <si>
    <t>HONGO Y LAUREL A GRANEL</t>
  </si>
  <si>
    <t>POLLO ENTERO EVISCERADO</t>
  </si>
  <si>
    <t>FIDEO CODITO ENVASADO</t>
  </si>
  <si>
    <t>CARNE DE RES CON HUESO</t>
  </si>
  <si>
    <t>MAZAMORRA PREPARADA SERVIDA</t>
  </si>
  <si>
    <t>YOGURT BEBIBLE ENVASADO</t>
  </si>
  <si>
    <t>FOSFORO</t>
  </si>
  <si>
    <t>SAL MARINA</t>
  </si>
  <si>
    <t>CEREALES PROCESADOS ENRIQUECIDOS</t>
  </si>
  <si>
    <t>LEJIA EN FRASCO</t>
  </si>
  <si>
    <t>GALLETA DULCE ENVASADA</t>
  </si>
  <si>
    <t>BETARRAGA</t>
  </si>
  <si>
    <t>SOPA AGUADITO</t>
  </si>
  <si>
    <t>TOLLO FRESCO</t>
  </si>
  <si>
    <t>BLANCO FRESCO</t>
  </si>
  <si>
    <t>AGUA DE CEBADA SERVIDO</t>
  </si>
  <si>
    <t>MARIPOSA FRESCA</t>
  </si>
  <si>
    <t>MARGARINA ENVASADA</t>
  </si>
  <si>
    <t>MANZANILLA FILTRANTE</t>
  </si>
  <si>
    <t>LECHE FRESCA CRUDA DE CABRA A GRANEL</t>
  </si>
  <si>
    <t>POLLADA SERVIDA</t>
  </si>
  <si>
    <t>HOJA DE AFEITAR</t>
  </si>
  <si>
    <t>BEBIDA HIDRATANTE</t>
  </si>
  <si>
    <t>FUREL FRESCO</t>
  </si>
  <si>
    <t>JUGO DE FRUTAS LICUADO SERVIDO</t>
  </si>
  <si>
    <t>LECHE FRESCA CRUDA DE VACA A GRANEL</t>
  </si>
  <si>
    <t>PASAJE AUTO</t>
  </si>
  <si>
    <t>MENU DE DESAYUNO</t>
  </si>
  <si>
    <t>PAMPANITO FRESCO</t>
  </si>
  <si>
    <t>DETERGENTE EN POLVO ENVASADO</t>
  </si>
  <si>
    <t>LEJIA EN COJIN</t>
  </si>
  <si>
    <t>GALLETAS RELLENAS ENVASADAS</t>
  </si>
  <si>
    <t>FIDEOS TALLARIN ENVASADO</t>
  </si>
  <si>
    <t>HONGOS Y LAUREL A GRANEL</t>
  </si>
  <si>
    <t>COCOA ENVASADA EN POLVO</t>
  </si>
  <si>
    <t>ARROZ A GRANEL</t>
  </si>
  <si>
    <t>AGUJA FRESCA</t>
  </si>
  <si>
    <t>ESCOBA DE PLASTICO</t>
  </si>
  <si>
    <t>PI A DE GUAYAQUIL</t>
  </si>
  <si>
    <t>VERDURA PICADA PARA SOPA</t>
  </si>
  <si>
    <t>SAZONADOR AJI PANCA EN POLVO ENVASADO</t>
  </si>
  <si>
    <t>SANCOCHADO DE RES</t>
  </si>
  <si>
    <t>MAIZ MORADO</t>
  </si>
  <si>
    <t>MAZAMORRA MORADA ENVASADA</t>
  </si>
  <si>
    <t>GELATINA PREPARADA</t>
  </si>
  <si>
    <t>YOGUR DE LECHE DE VACA ENVASADO</t>
  </si>
  <si>
    <t>HOT DOG DE POLLO</t>
  </si>
  <si>
    <t>PASTILLA PARA LA EPILEPSIA</t>
  </si>
  <si>
    <t>PIERNA CON ENCUENTRO DE POLLO</t>
  </si>
  <si>
    <t>GALLETAS SALADAS ENVASADAS</t>
  </si>
  <si>
    <t>TAMAL VERDE CHANCHO SERVIDO</t>
  </si>
  <si>
    <t>CEREAL PROCESADO MIXTO ENVASADO</t>
  </si>
  <si>
    <t>SUAVIZANTE DE ROPA</t>
  </si>
  <si>
    <t>1 GRAMO</t>
  </si>
  <si>
    <t>1 UNIDAD</t>
  </si>
  <si>
    <t>2 GRAMO</t>
  </si>
  <si>
    <t>0 RAMA</t>
  </si>
  <si>
    <t>1 SOBRE GRANDE</t>
  </si>
  <si>
    <t>5 LITRO</t>
  </si>
  <si>
    <t>3 GRAMO</t>
  </si>
  <si>
    <t>15 UNIDAD</t>
  </si>
  <si>
    <t>350 UNIDAD</t>
  </si>
  <si>
    <t>60 DOCENA</t>
  </si>
  <si>
    <t>10 UNIDAD</t>
  </si>
  <si>
    <t>10 KILO</t>
  </si>
  <si>
    <t>6 MENU</t>
  </si>
  <si>
    <t>12 MENU</t>
  </si>
  <si>
    <t>1 BOTELLA CHICA</t>
  </si>
  <si>
    <t>0 SOBRE CHICO</t>
  </si>
  <si>
    <t>18 MENU</t>
  </si>
  <si>
    <t>15 MENU</t>
  </si>
  <si>
    <t>1 VASO</t>
  </si>
  <si>
    <t>0 CABEZA</t>
  </si>
  <si>
    <t>4 MENU</t>
  </si>
  <si>
    <t>5 MENU</t>
  </si>
  <si>
    <t>3 MENU</t>
  </si>
  <si>
    <t>1 BOLSA</t>
  </si>
  <si>
    <t>0 BOLSA</t>
  </si>
  <si>
    <t>7 JARRA</t>
  </si>
  <si>
    <t>Cantidad</t>
  </si>
  <si>
    <t>Precio UN</t>
  </si>
  <si>
    <t>Precio Final</t>
  </si>
  <si>
    <t>id</t>
  </si>
  <si>
    <t>produc_name</t>
  </si>
  <si>
    <t>ID</t>
  </si>
  <si>
    <t>Tipo</t>
  </si>
  <si>
    <t>mes</t>
  </si>
  <si>
    <t>distrito</t>
  </si>
  <si>
    <t>monto_total</t>
  </si>
  <si>
    <t>Panao</t>
  </si>
  <si>
    <t>Huacrachuco</t>
  </si>
  <si>
    <t>La Union</t>
  </si>
  <si>
    <t>San Francisco</t>
  </si>
  <si>
    <t>Colpas</t>
  </si>
  <si>
    <t>Ambo</t>
  </si>
  <si>
    <t>Churubamba</t>
  </si>
  <si>
    <t>Huanuco</t>
  </si>
  <si>
    <t>Churcampa</t>
  </si>
  <si>
    <t>Huayacundo Arma</t>
  </si>
  <si>
    <t>Ayavi</t>
  </si>
  <si>
    <t>Pampas</t>
  </si>
  <si>
    <t>Huayllahuara</t>
  </si>
  <si>
    <t>Huachocolpa</t>
  </si>
  <si>
    <t>Cuenca</t>
  </si>
  <si>
    <t>Conayca</t>
  </si>
  <si>
    <t>Huancavelica</t>
  </si>
  <si>
    <t>Saylla</t>
  </si>
  <si>
    <t>Santiago</t>
  </si>
  <si>
    <t>San Sebastian</t>
  </si>
  <si>
    <t>San Jeronimo</t>
  </si>
  <si>
    <t>Poroy</t>
  </si>
  <si>
    <t>Ccorca</t>
  </si>
  <si>
    <t>Cusco</t>
  </si>
  <si>
    <t>San Pablo</t>
  </si>
  <si>
    <t>La Esperanza</t>
  </si>
  <si>
    <t>Santa Cruz</t>
  </si>
  <si>
    <t>San Felipe</t>
  </si>
  <si>
    <t>Jaen</t>
  </si>
  <si>
    <t>Bambamarca</t>
  </si>
  <si>
    <t>Tacabamba</t>
  </si>
  <si>
    <t>Chota</t>
  </si>
  <si>
    <t>Callayuc</t>
  </si>
  <si>
    <t>Contumaza</t>
  </si>
  <si>
    <t>Oxamarca</t>
  </si>
  <si>
    <t>Celendin</t>
  </si>
  <si>
    <t>Cajabamba</t>
  </si>
  <si>
    <t>Llacanora</t>
  </si>
  <si>
    <t>Cajamarca</t>
  </si>
  <si>
    <t>Huambalpa</t>
  </si>
  <si>
    <t>Pacapausa</t>
  </si>
  <si>
    <t>Coracora</t>
  </si>
  <si>
    <t>Carmen Salcedo</t>
  </si>
  <si>
    <t>Cabana</t>
  </si>
  <si>
    <t>Santa Rosa</t>
  </si>
  <si>
    <t>San Miguel</t>
  </si>
  <si>
    <t>Jesus Nazareno</t>
  </si>
  <si>
    <t>Tambillo</t>
  </si>
  <si>
    <t>Quinua</t>
  </si>
  <si>
    <t>Chiara</t>
  </si>
  <si>
    <t>Acos Vinchos</t>
  </si>
  <si>
    <t>Ayacucho</t>
  </si>
  <si>
    <t>Dean Valdivia</t>
  </si>
  <si>
    <t>Aplao</t>
  </si>
  <si>
    <t>Mariano Nicolas Valcarcel</t>
  </si>
  <si>
    <t>Huanca</t>
  </si>
  <si>
    <t>Cabanaconde</t>
  </si>
  <si>
    <t>Jose Luis Bustamante y Rivero</t>
  </si>
  <si>
    <t>Alto Selva Alegre</t>
  </si>
  <si>
    <t>Mariano Melgar</t>
  </si>
  <si>
    <t>Yura</t>
  </si>
  <si>
    <t>Yarabamba</t>
  </si>
  <si>
    <t>Yanahuara</t>
  </si>
  <si>
    <t>Vitor</t>
  </si>
  <si>
    <t>Santa Isabel de Siguas</t>
  </si>
  <si>
    <t>San Juan de Siguas</t>
  </si>
  <si>
    <t>Queque a</t>
  </si>
  <si>
    <t>Polobaya</t>
  </si>
  <si>
    <t>Pocsi</t>
  </si>
  <si>
    <t>Paucarpata</t>
  </si>
  <si>
    <t>Mollebaya</t>
  </si>
  <si>
    <t>Castilla</t>
  </si>
  <si>
    <t>Piura</t>
  </si>
  <si>
    <t>Huancabamba</t>
  </si>
  <si>
    <t>Chontabamba</t>
  </si>
  <si>
    <t>Oxapampa</t>
  </si>
  <si>
    <t>Santa Ana de Tusi</t>
  </si>
  <si>
    <t>Ninacaca</t>
  </si>
  <si>
    <t>Huariaca</t>
  </si>
  <si>
    <t>Chaupimarca</t>
  </si>
  <si>
    <t>Pacocha</t>
  </si>
  <si>
    <t>Miraflores</t>
  </si>
  <si>
    <t>Characato</t>
  </si>
  <si>
    <t>Cerro Colorado</t>
  </si>
  <si>
    <t>Cayma</t>
  </si>
  <si>
    <t>Arequipa</t>
  </si>
  <si>
    <t>Progreso</t>
  </si>
  <si>
    <t>Curpahuasi</t>
  </si>
  <si>
    <t>Challhuahuacho</t>
  </si>
  <si>
    <t>Haquira</t>
  </si>
  <si>
    <t>Tambobamba</t>
  </si>
  <si>
    <t>Pachaconas</t>
  </si>
  <si>
    <t>Yanaca</t>
  </si>
  <si>
    <t>El Algarrobal</t>
  </si>
  <si>
    <t>Toraya</t>
  </si>
  <si>
    <t>Ichu a</t>
  </si>
  <si>
    <t>Tintay</t>
  </si>
  <si>
    <t>Chojata</t>
  </si>
  <si>
    <t>Chalhuanca</t>
  </si>
  <si>
    <t>Coalaque</t>
  </si>
  <si>
    <t>San Cristobal</t>
  </si>
  <si>
    <t>Tamburco</t>
  </si>
  <si>
    <t>Cuchumbaya</t>
  </si>
  <si>
    <t>Chacoche</t>
  </si>
  <si>
    <t>Carumas</t>
  </si>
  <si>
    <t>Abancay</t>
  </si>
  <si>
    <t>Moquegua</t>
  </si>
  <si>
    <t>Sepahua</t>
  </si>
  <si>
    <t>I apari</t>
  </si>
  <si>
    <t>Manu</t>
  </si>
  <si>
    <t>Yurua</t>
  </si>
  <si>
    <t>Raymondi</t>
  </si>
  <si>
    <t>Laberinto</t>
  </si>
  <si>
    <t>Tambopata</t>
  </si>
  <si>
    <t>Padre Abad</t>
  </si>
  <si>
    <t>Barranca</t>
  </si>
  <si>
    <t>Manantay</t>
  </si>
  <si>
    <t>Nueva Requena</t>
  </si>
  <si>
    <t>Iparia</t>
  </si>
  <si>
    <t>Masisea</t>
  </si>
  <si>
    <t>Yavari</t>
  </si>
  <si>
    <t>Ramon Castilla</t>
  </si>
  <si>
    <t>Sarayacu</t>
  </si>
  <si>
    <t>Yarinacocha</t>
  </si>
  <si>
    <t>Calleria</t>
  </si>
  <si>
    <t>Pampa Hermosa</t>
  </si>
  <si>
    <t>La Perla</t>
  </si>
  <si>
    <t>Padre Marquez</t>
  </si>
  <si>
    <t>Carmen de La Legua</t>
  </si>
  <si>
    <t>La Punta</t>
  </si>
  <si>
    <t>Bellavista</t>
  </si>
  <si>
    <t>Vargas Guerra</t>
  </si>
  <si>
    <t>Callao</t>
  </si>
  <si>
    <t>Contamana</t>
  </si>
  <si>
    <t>Matapalo</t>
  </si>
  <si>
    <t>Alto Tapiche</t>
  </si>
  <si>
    <t>San Juan de La Virgen</t>
  </si>
  <si>
    <t>Requena</t>
  </si>
  <si>
    <t>San Jacinto</t>
  </si>
  <si>
    <t>Jeberos</t>
  </si>
  <si>
    <t>Pampas de Hospital</t>
  </si>
  <si>
    <t>Balsapuerto</t>
  </si>
  <si>
    <t>Yurimaguas</t>
  </si>
  <si>
    <t>Corrales</t>
  </si>
  <si>
    <t>Teniente Manuel Clavero</t>
  </si>
  <si>
    <t>San Juan Bautista</t>
  </si>
  <si>
    <t>Tumbes</t>
  </si>
  <si>
    <t>Ilabaya</t>
  </si>
  <si>
    <t>Belen</t>
  </si>
  <si>
    <t>Estique</t>
  </si>
  <si>
    <t>Punchana</t>
  </si>
  <si>
    <t>Heroes Albarracin</t>
  </si>
  <si>
    <t>Indiana</t>
  </si>
  <si>
    <t>Tarata</t>
  </si>
  <si>
    <t>Torres Causana</t>
  </si>
  <si>
    <t>Inclan</t>
  </si>
  <si>
    <t>Putumayo</t>
  </si>
  <si>
    <t>Tacna</t>
  </si>
  <si>
    <t>Napo</t>
  </si>
  <si>
    <t>Carhuapampa</t>
  </si>
  <si>
    <t>Mazan</t>
  </si>
  <si>
    <t>Acas</t>
  </si>
  <si>
    <t>Las Amazonas</t>
  </si>
  <si>
    <t>Fernando Lores</t>
  </si>
  <si>
    <t>Alto Nanay</t>
  </si>
  <si>
    <t>Huarmey</t>
  </si>
  <si>
    <t>Chacas</t>
  </si>
  <si>
    <t>Yauya</t>
  </si>
  <si>
    <t>Iquitos</t>
  </si>
  <si>
    <t>Chaccho</t>
  </si>
  <si>
    <t>San Buenaventura</t>
  </si>
  <si>
    <t>Lachaqui</t>
  </si>
  <si>
    <t>Llamellin</t>
  </si>
  <si>
    <t>Huaros</t>
  </si>
  <si>
    <t>Pararin</t>
  </si>
  <si>
    <t>Canta</t>
  </si>
  <si>
    <t>Recuay</t>
  </si>
  <si>
    <t>Pomabamba</t>
  </si>
  <si>
    <t>San Jose de Sisa</t>
  </si>
  <si>
    <t>Gorgor</t>
  </si>
  <si>
    <t>Copa</t>
  </si>
  <si>
    <t>Buenos Aires</t>
  </si>
  <si>
    <t>Cajatambo</t>
  </si>
  <si>
    <t>Picota</t>
  </si>
  <si>
    <t>Pucusana</t>
  </si>
  <si>
    <t>Tocache</t>
  </si>
  <si>
    <t>Rioja</t>
  </si>
  <si>
    <t>Juanjui</t>
  </si>
  <si>
    <t>Pueblo Libre</t>
  </si>
  <si>
    <t>Pinto Recodo</t>
  </si>
  <si>
    <t>Pachacamac</t>
  </si>
  <si>
    <t>Lurin</t>
  </si>
  <si>
    <t>Cu umbuqui</t>
  </si>
  <si>
    <t>Caynarachi</t>
  </si>
  <si>
    <t>El Eslabon</t>
  </si>
  <si>
    <t>Lurigancho</t>
  </si>
  <si>
    <t>La Molina</t>
  </si>
  <si>
    <t>Saposoa</t>
  </si>
  <si>
    <t>Chorrillos</t>
  </si>
  <si>
    <t>Tauca</t>
  </si>
  <si>
    <t>Comas</t>
  </si>
  <si>
    <t>Moyobamba</t>
  </si>
  <si>
    <t>Carabayllo</t>
  </si>
  <si>
    <t>Huacaschuque</t>
  </si>
  <si>
    <t>Bre a</t>
  </si>
  <si>
    <t>Huari</t>
  </si>
  <si>
    <t>Caraz</t>
  </si>
  <si>
    <t>Lima</t>
  </si>
  <si>
    <t>La Pampa</t>
  </si>
  <si>
    <t>Manuel Antonio Mesones Muro</t>
  </si>
  <si>
    <t>Corongo</t>
  </si>
  <si>
    <t>Pueblo Nuevo</t>
  </si>
  <si>
    <t>Reque</t>
  </si>
  <si>
    <t>Picsi</t>
  </si>
  <si>
    <t>Lagunas</t>
  </si>
  <si>
    <t>Chiquian</t>
  </si>
  <si>
    <t>Huanchay</t>
  </si>
  <si>
    <t>Huaraz</t>
  </si>
  <si>
    <t>Eten Puerto</t>
  </si>
  <si>
    <t>Eten</t>
  </si>
  <si>
    <t>Chongoyape</t>
  </si>
  <si>
    <t>Cuyocuyo</t>
  </si>
  <si>
    <t>Sandia</t>
  </si>
  <si>
    <t>Nu oa</t>
  </si>
  <si>
    <t>Chiclayo</t>
  </si>
  <si>
    <t>Macari</t>
  </si>
  <si>
    <t>Santiago de Chuco</t>
  </si>
  <si>
    <t>Ongon</t>
  </si>
  <si>
    <t>Ayaviri</t>
  </si>
  <si>
    <t>Huayo</t>
  </si>
  <si>
    <t>Calapuja</t>
  </si>
  <si>
    <t>San Pedro de Lloc</t>
  </si>
  <si>
    <t>Cabanilla</t>
  </si>
  <si>
    <t>Otuzco</t>
  </si>
  <si>
    <t>Marcabal</t>
  </si>
  <si>
    <t>Lampa</t>
  </si>
  <si>
    <t>Cochorco</t>
  </si>
  <si>
    <t>Inchupalla</t>
  </si>
  <si>
    <t>Huamachuco</t>
  </si>
  <si>
    <t>Juli</t>
  </si>
  <si>
    <t>Ollachea</t>
  </si>
  <si>
    <t>Mu ani</t>
  </si>
  <si>
    <t>Victor Larco Herrera</t>
  </si>
  <si>
    <t>Chupa</t>
  </si>
  <si>
    <t>Trujillo</t>
  </si>
  <si>
    <t>Achaya</t>
  </si>
  <si>
    <t>Tarma</t>
  </si>
  <si>
    <t>Amantani</t>
  </si>
  <si>
    <t>Plateria</t>
  </si>
  <si>
    <t>Canchayllo</t>
  </si>
  <si>
    <t>Apata</t>
  </si>
  <si>
    <t>Manzanares</t>
  </si>
  <si>
    <t>Heroinas Toledo</t>
  </si>
  <si>
    <t>Chambara</t>
  </si>
  <si>
    <t>Cochas</t>
  </si>
  <si>
    <t>Aco</t>
  </si>
  <si>
    <t>Concepcion</t>
  </si>
  <si>
    <t>Chupuro</t>
  </si>
  <si>
    <t>Chilca</t>
  </si>
  <si>
    <t>Chicche</t>
  </si>
  <si>
    <t>Chacapampa</t>
  </si>
  <si>
    <t>Huancayo</t>
  </si>
  <si>
    <t>Lonya Grande</t>
  </si>
  <si>
    <t>Cajaruro</t>
  </si>
  <si>
    <t>Bagua Grande</t>
  </si>
  <si>
    <t>Pichacani</t>
  </si>
  <si>
    <t>Coata</t>
  </si>
  <si>
    <t>Lamud</t>
  </si>
  <si>
    <t>Capachica</t>
  </si>
  <si>
    <t>Jazan</t>
  </si>
  <si>
    <t>Puno</t>
  </si>
  <si>
    <t>San Miguel de El Faique</t>
  </si>
  <si>
    <t>El Carmen de La Frontera</t>
  </si>
  <si>
    <t>Florida</t>
  </si>
  <si>
    <t>Sondor</t>
  </si>
  <si>
    <t>Bagua</t>
  </si>
  <si>
    <t>Huarmaca</t>
  </si>
  <si>
    <t>Aramango</t>
  </si>
  <si>
    <t>La Peca</t>
  </si>
  <si>
    <t>Olleros</t>
  </si>
  <si>
    <t>La Jalca</t>
  </si>
  <si>
    <t>Sicchez</t>
  </si>
  <si>
    <t>Chachapoyas</t>
  </si>
  <si>
    <t>Sapillica</t>
  </si>
  <si>
    <t>Palpa</t>
  </si>
  <si>
    <t>Frias</t>
  </si>
  <si>
    <t>Ayabaca</t>
  </si>
  <si>
    <t>Pisco</t>
  </si>
  <si>
    <t>Cura Mori</t>
  </si>
  <si>
    <t>Grocio Prado</t>
  </si>
  <si>
    <t>Tambo Grande</t>
  </si>
  <si>
    <t>Chincha Alta</t>
  </si>
  <si>
    <t>Las Lomas</t>
  </si>
  <si>
    <t>Yauca del Rosario</t>
  </si>
  <si>
    <t>San Jose de los Molinos</t>
  </si>
  <si>
    <t>Parcona</t>
  </si>
  <si>
    <t>Catacaos</t>
  </si>
  <si>
    <t>La Tingui a</t>
  </si>
  <si>
    <t>Ica</t>
  </si>
  <si>
    <t>Suma de monto_total</t>
  </si>
  <si>
    <t>distrito Y monto</t>
  </si>
  <si>
    <t>Row Labels</t>
  </si>
  <si>
    <t>Grand Total</t>
  </si>
  <si>
    <t>BUSCAR</t>
  </si>
  <si>
    <t>FIDEOS TALLARIN A GRANEL</t>
  </si>
  <si>
    <t>OREGANO SECO A GRANEL</t>
  </si>
  <si>
    <t>VELA</t>
  </si>
  <si>
    <t>PASTILLA PARA MIGRA A</t>
  </si>
  <si>
    <t>PASTILLA PARA PRESION</t>
  </si>
  <si>
    <t>PASTILLA ANTIINFLAMATORIO</t>
  </si>
  <si>
    <t>HUEVO DE GALLINA BLANCO A GRANEL</t>
  </si>
  <si>
    <t>ROBALO FRESCO</t>
  </si>
  <si>
    <t>ACHOCOLATADO EN POLVO</t>
  </si>
  <si>
    <t>GALLETA RELLENA ENVASADA</t>
  </si>
  <si>
    <t>SILLAO ENVASADO</t>
  </si>
  <si>
    <t>PASAS A GRANEL</t>
  </si>
  <si>
    <t>AJI ROCOTO</t>
  </si>
  <si>
    <t>MERMELADA ENVASADA DE FRESA</t>
  </si>
  <si>
    <t>SALCHIPOLLO</t>
  </si>
  <si>
    <t>EXPRIMIDOR</t>
  </si>
  <si>
    <t>PASTILLA PARA EL VOMITO</t>
  </si>
  <si>
    <t>FILETE DE PESCADO FRESCO</t>
  </si>
  <si>
    <t>PLATANO FRITO ENVASADO</t>
  </si>
  <si>
    <t>AGUADITO SERVIDO</t>
  </si>
  <si>
    <t>PAN VARIADO</t>
  </si>
  <si>
    <t>LECHE DE SOYA SERVIDO</t>
  </si>
  <si>
    <t>PAPA CANCHAN</t>
  </si>
  <si>
    <t>CABEZA DE CEBOLLA ROJA</t>
  </si>
  <si>
    <t>TOMATE DE LA REGION</t>
  </si>
  <si>
    <t>SEMOLA ENVASADA</t>
  </si>
  <si>
    <t>SAZONADOR VERDE ENVASADO</t>
  </si>
  <si>
    <t>LOMITO DE ATUN</t>
  </si>
  <si>
    <t>MANZANA ISRAEL</t>
  </si>
  <si>
    <t>SAZONADOR AJI PANCA MOLIDO ENVASADO</t>
  </si>
  <si>
    <t>NARANJILLA</t>
  </si>
  <si>
    <t>SAZONADOR AMARILLO EN POLVO ENVASADO</t>
  </si>
  <si>
    <t>GALLETAS RELLENAS ENVASADA</t>
  </si>
  <si>
    <t>AJI PANCA MOLIDO ENVASADO</t>
  </si>
  <si>
    <t>POP CORN BOCADITO</t>
  </si>
  <si>
    <t>LANGOSTINO SIN CAPARAZON</t>
  </si>
  <si>
    <t>LECHE EVAPORADA ENTERA</t>
  </si>
  <si>
    <t>CAMARONES FRESCOS A GRANEL</t>
  </si>
  <si>
    <t>AJI LIMO</t>
  </si>
  <si>
    <t>PASAJE EN AUTO</t>
  </si>
  <si>
    <t>PROPINA PARA NIETA</t>
  </si>
  <si>
    <t>GASOLINA 84 OCTANOS</t>
  </si>
  <si>
    <t>MARGARINA ENVASADA CON SAL</t>
  </si>
  <si>
    <t>LECHE FRESCA UHT ENTERA</t>
  </si>
  <si>
    <t>FREJOL BAYO PRECOCIDO</t>
  </si>
  <si>
    <t>VINAGRE ENVASADO</t>
  </si>
  <si>
    <t>AJI PANCA MOLIDO A GRANEL</t>
  </si>
  <si>
    <t>MANGO HADEN</t>
  </si>
  <si>
    <t>TARRINAS DESCARTABLES</t>
  </si>
  <si>
    <t>HUEVO DE GALLINA ROSADA A GRANEL</t>
  </si>
  <si>
    <t>SECO DE CABRITO</t>
  </si>
  <si>
    <t>AJOS ENTERO SIN PELAR</t>
  </si>
  <si>
    <t>RON</t>
  </si>
  <si>
    <t>VERDURA ENTERA</t>
  </si>
  <si>
    <t>PI A HAWAIANA</t>
  </si>
  <si>
    <t>TAMAL VERDE DE POLLO SERVIDO</t>
  </si>
  <si>
    <t>PAPA MOLINERA</t>
  </si>
  <si>
    <t>CHOCLO CRIOLLO</t>
  </si>
  <si>
    <t>AGUJA FRESCO</t>
  </si>
  <si>
    <t>LOMON AGRIO</t>
  </si>
  <si>
    <t>CONSULTA MEDICA GENERAL</t>
  </si>
  <si>
    <t>SOLUCION ORAL</t>
  </si>
  <si>
    <t>ARVERJA VERDE PARTIDA</t>
  </si>
  <si>
    <t>CEBADA SERVIDA</t>
  </si>
  <si>
    <t>ZAPALLO MAGRE</t>
  </si>
  <si>
    <t>JUREL FRESCO</t>
  </si>
  <si>
    <t>PASTILLA PARA EL DOLOR DE CABEZA</t>
  </si>
  <si>
    <t>MAQUINA DE AFEITAR DESECHABLE</t>
  </si>
  <si>
    <t>DESODORANTE PARA HOMBRE</t>
  </si>
  <si>
    <t>TINTE PARA CABELLO</t>
  </si>
  <si>
    <t>HOT DOG A GRANEL</t>
  </si>
  <si>
    <t>FIDEO TALLARIN A GRANEL</t>
  </si>
  <si>
    <t>PA AL DESECHABLE PARA BEBE</t>
  </si>
  <si>
    <t>PASTILLA PARA LA GRIPE</t>
  </si>
  <si>
    <t>JARABE PARA LA TOS</t>
  </si>
  <si>
    <t>INCIENSO ANTIMOSQUITO</t>
  </si>
  <si>
    <t>BAGRE FRESCO</t>
  </si>
  <si>
    <t>CHICHA DE JORA SERVIDO</t>
  </si>
  <si>
    <t>PLATANO FRITO A GRANEL</t>
  </si>
  <si>
    <t>CHAMPU EN FRASCO MASCOTA</t>
  </si>
  <si>
    <t>CORTE DE CABELLO PARA MUJER</t>
  </si>
  <si>
    <t>AVENA SERVIDA</t>
  </si>
  <si>
    <t>ZANAHORIA</t>
  </si>
  <si>
    <t>CLASE DE GYMNASIO</t>
  </si>
  <si>
    <t>PARRILLADA</t>
  </si>
  <si>
    <t>QUESO SUIZO</t>
  </si>
  <si>
    <t>HUEVO DE GALLINA ROSADO ENVASADO</t>
  </si>
  <si>
    <t>ACEITUNA VERDE</t>
  </si>
  <si>
    <t>LECHE ENVASADA</t>
  </si>
  <si>
    <t>ARROZ CORRIENTE O COMUN</t>
  </si>
  <si>
    <t>CONGRIO FRESCO</t>
  </si>
  <si>
    <t>TORTA DE CHOCOLATE ENTERA</t>
  </si>
  <si>
    <t>PISCO DE UVA</t>
  </si>
  <si>
    <t>LECHE CONDENSADA</t>
  </si>
  <si>
    <t>CEVICHE DE CONCHAS NEGRAS</t>
  </si>
  <si>
    <t>SANDWICH DE QUESO Y JAMONADA</t>
  </si>
  <si>
    <t>JUGO DE MORA SERVIDO</t>
  </si>
  <si>
    <t>JARABE PARA LA HEMOGLOBINA</t>
  </si>
  <si>
    <t>NARANJA</t>
  </si>
  <si>
    <t>TALLARINES</t>
  </si>
  <si>
    <t>ENTRADA A CINE ADULTO</t>
  </si>
  <si>
    <t>ENTRADA A CINE NI O</t>
  </si>
  <si>
    <t>LIMONADA SERVIDA</t>
  </si>
  <si>
    <t>PORO</t>
  </si>
  <si>
    <t>LANGOSTINO CON CAPARAZON</t>
  </si>
  <si>
    <t>MISTURIADO SERVIDO</t>
  </si>
  <si>
    <t>MOLIDO SERVIDO</t>
  </si>
  <si>
    <t>AJO ENTERO</t>
  </si>
  <si>
    <t>CANELA A GRANEL</t>
  </si>
  <si>
    <t>FIDEO DE PASTA LARGA ENVASADOS</t>
  </si>
  <si>
    <t>UVA VERDE</t>
  </si>
  <si>
    <t>FIDEO CANUTO ENVASADO</t>
  </si>
  <si>
    <t>MANI MOLIDO</t>
  </si>
  <si>
    <t>PATA DE RES</t>
  </si>
  <si>
    <t>MOTE SANCOCHADO</t>
  </si>
  <si>
    <t>JUGO SURTIDO SERVIDO</t>
  </si>
  <si>
    <t>EMPANADAS DE CARNE</t>
  </si>
  <si>
    <t>CALDO DE GALLINA</t>
  </si>
  <si>
    <t>KEKE DE CHOCOLATE</t>
  </si>
  <si>
    <t>PIMIENTO ENTERO</t>
  </si>
  <si>
    <t>CHUFLA PREPARADA</t>
  </si>
  <si>
    <t>MANZANA DELICIA</t>
  </si>
  <si>
    <t>REFRESCO ENVASADO FLUIDO</t>
  </si>
  <si>
    <t>POLLADA PREPARADA</t>
  </si>
  <si>
    <t>JARABE PARA LA FIEBRE</t>
  </si>
  <si>
    <t>CERVEZA RUBIA</t>
  </si>
  <si>
    <t>CEVICHE MIXTO SERVIDO</t>
  </si>
  <si>
    <t>PAN HAMBURGUESA POLLO</t>
  </si>
  <si>
    <t>POLLO BROASTER</t>
  </si>
  <si>
    <t>YUCA</t>
  </si>
  <si>
    <t>COCOA</t>
  </si>
  <si>
    <t>FIDEOS DE PASTA LARGA A GRANEL</t>
  </si>
  <si>
    <t>CHULETA DE RES</t>
  </si>
  <si>
    <t>HOT DOG DE CERDO ENVASADO</t>
  </si>
  <si>
    <t>TAMAL DE POLLO PREPARADO</t>
  </si>
  <si>
    <t>CEREALES PRECESADOS ENRIQUECIDOS</t>
  </si>
  <si>
    <t>CEREALES PROCESADOS ENREQUECIDOS</t>
  </si>
  <si>
    <t>TRUZA MUJER</t>
  </si>
  <si>
    <t>DESODORANTE PARA MUJER</t>
  </si>
  <si>
    <t>CAJA DE COLORES</t>
  </si>
  <si>
    <t>PANAL DESECHABLE PARA BEBE</t>
  </si>
  <si>
    <t>CEREALES PROCESADOS ENREQUCIDOS</t>
  </si>
  <si>
    <t>VESTIDO DE BEBE</t>
  </si>
  <si>
    <t>TAJADOR</t>
  </si>
  <si>
    <t>LAPIZ DE CARBONCILLO NEGRO</t>
  </si>
  <si>
    <t>TALLARINES SALTADOS</t>
  </si>
  <si>
    <t>PIERNA DE POLLO</t>
  </si>
  <si>
    <t>VERDURA PREPARADA</t>
  </si>
  <si>
    <t>BROCOLI</t>
  </si>
  <si>
    <t>COLIFLOR</t>
  </si>
  <si>
    <t>PEPINILLO</t>
  </si>
  <si>
    <t>ARROZ SUPERIOR A GRANEL</t>
  </si>
  <si>
    <t>POLO SPORT NI O</t>
  </si>
  <si>
    <t>TE NEGRO FILTRANTE</t>
  </si>
  <si>
    <t>PASTILLA PARA LA TIROIDES</t>
  </si>
  <si>
    <t>TE CHINO FILTRANTE</t>
  </si>
  <si>
    <t>CERVEZA RUBIA SERVIDA</t>
  </si>
  <si>
    <t>SALSA CHINA ENVASADA</t>
  </si>
  <si>
    <t>DESINFECTANTE EN FRASCO</t>
  </si>
  <si>
    <t>ESPONJA DE ALAMBRE</t>
  </si>
  <si>
    <t>LAVAVAJILLA</t>
  </si>
  <si>
    <t>PASTA PARA CALZADO</t>
  </si>
  <si>
    <t>RECOGEDOR DE BASURA</t>
  </si>
  <si>
    <t>ESCOBA PLASTICA</t>
  </si>
  <si>
    <t>TRAPEADOR DE YUTE</t>
  </si>
  <si>
    <t>ANILLADO DE LIBRO</t>
  </si>
  <si>
    <t>ARVEJA VERDE PARTIDA</t>
  </si>
  <si>
    <t>CHARELA FRESCA</t>
  </si>
  <si>
    <t>FIDEOS DE PASTA LARGA ENVASADO</t>
  </si>
  <si>
    <t>HIERBA LUISA EN HIERBA</t>
  </si>
  <si>
    <t>CUADERNO ENGRAMPADO A4</t>
  </si>
  <si>
    <t>FILETE DE POLLITO</t>
  </si>
  <si>
    <t>MAIZ TOSTADO A GRANEL</t>
  </si>
  <si>
    <t>QUAKER SERVIDO</t>
  </si>
  <si>
    <t>ACHIOTE ENTERO</t>
  </si>
  <si>
    <t>SANDIA</t>
  </si>
  <si>
    <t>SANDALIAS DE PLASTICO PARA BEBE</t>
  </si>
  <si>
    <t>CUADRO DE FOTOS</t>
  </si>
  <si>
    <t>CARAMELOS DUROS ENVASADOS</t>
  </si>
  <si>
    <t>COSTILLA DE RES</t>
  </si>
  <si>
    <t>FIDEO TALLARIN</t>
  </si>
  <si>
    <t>HIERBABUENA</t>
  </si>
  <si>
    <t>REFRESCOS INSTANTANEOS</t>
  </si>
  <si>
    <t>MANZANA CORRIENTE</t>
  </si>
  <si>
    <t>PAN CON HAMBURGUESA EN AMBULANTE</t>
  </si>
  <si>
    <t>VINAGRE BLANCO</t>
  </si>
  <si>
    <t>MORTADELA</t>
  </si>
  <si>
    <t>ARROZ CON TOLLITO</t>
  </si>
  <si>
    <t>LECHE DE SOYA SERVIDA</t>
  </si>
  <si>
    <t>PASTILLA PARA EL DOLOR MUSCULAR</t>
  </si>
  <si>
    <t>CIGARRILLO MENTOLADO</t>
  </si>
  <si>
    <t>CREMA PARA LOS HONGOS</t>
  </si>
  <si>
    <t>PASTILLA PARA LA PROSTATA</t>
  </si>
  <si>
    <t>HOT DOG DE POLLO A GRANEL</t>
  </si>
  <si>
    <t>ACONDICIONADOR PARA CABELLO</t>
  </si>
  <si>
    <t>PERA DE AGUA</t>
  </si>
  <si>
    <t>MANGO KENT</t>
  </si>
  <si>
    <t>BRAZUELO DE CABRITO</t>
  </si>
  <si>
    <t>OLLUCO ENTERO</t>
  </si>
  <si>
    <t>BRAZUELO DE CHANCHO</t>
  </si>
  <si>
    <t>CREMA PARA VERRUGAS</t>
  </si>
  <si>
    <t>BOLO</t>
  </si>
  <si>
    <t>HUESO DE RES</t>
  </si>
  <si>
    <t>SUSTANCIA DE CALDO EN CUBITOS</t>
  </si>
  <si>
    <t>AJO MOLIDO A GRANEL</t>
  </si>
  <si>
    <t>GASEOSA NO RETORNABLE SERVIDA</t>
  </si>
  <si>
    <t>CEBOLLLA ROJA</t>
  </si>
  <si>
    <t>GALLETAS RELLENAS</t>
  </si>
  <si>
    <t>AGUA DE CEBADA SERVIDA</t>
  </si>
  <si>
    <t>AZUCAR RUBIA AGRANEL</t>
  </si>
  <si>
    <t>VINAGRE TINTO</t>
  </si>
  <si>
    <t>MARGARINA ENVASADA SIN SAL</t>
  </si>
  <si>
    <t>PASTILLA PARA LA DIABETES</t>
  </si>
  <si>
    <t>PASTILLA PARA LA PRESION</t>
  </si>
  <si>
    <t>TE DE JAZMIN FILTRANTE</t>
  </si>
  <si>
    <t>CAFE INSTANTANIO ENVASADO</t>
  </si>
  <si>
    <t>OREGANO SECO EN POLVO A GRANEL</t>
  </si>
  <si>
    <t>PASAJE EN MOTOCAR</t>
  </si>
  <si>
    <t>PAPA RELLENA SERVIDA</t>
  </si>
  <si>
    <t>RELLENO DE CHANCHO</t>
  </si>
  <si>
    <t>GRATE DE ATUN</t>
  </si>
  <si>
    <t>EUCALIPTO</t>
  </si>
  <si>
    <t>PIMIENTA ENTERA ENVASADA</t>
  </si>
  <si>
    <t>RASPADILLA</t>
  </si>
  <si>
    <t>ARROZ CON SECO DE POLLO Y MARACUYA</t>
  </si>
  <si>
    <t>POLO DE VESTIR HOMBRE</t>
  </si>
  <si>
    <t>ARROZ CON FREJOLES ESTOFADO DE POLLO Y LIMONADA</t>
  </si>
  <si>
    <t>ARROZ CON SANGUITO DE CONCHAS</t>
  </si>
  <si>
    <t>BISTEC DE RES</t>
  </si>
  <si>
    <t>PIMIENTA MOLIDA A GRANEL</t>
  </si>
  <si>
    <t>LOMO SALTADO</t>
  </si>
  <si>
    <t>TOLLO DE LECHE EVISCERADO</t>
  </si>
  <si>
    <t>MAIZ BLANCO CORRIENTE CANCHA</t>
  </si>
  <si>
    <t>ARROZ CON CHANCHO</t>
  </si>
  <si>
    <t>CARAMELOS DUROS ENVASADO</t>
  </si>
  <si>
    <t>PASTILLA PARA LA INFECCION DE GARGANTA</t>
  </si>
  <si>
    <t>TABLET</t>
  </si>
  <si>
    <t>EQUIPO DE TELEFONO CELULAR</t>
  </si>
  <si>
    <t>PANETON</t>
  </si>
  <si>
    <t>POLLO EVISCERADO ENTERO</t>
  </si>
  <si>
    <t>CACAO A GRANEL</t>
  </si>
  <si>
    <t>VASO DESCARTABLE</t>
  </si>
  <si>
    <t>CUBIERTO DESCARTABLE</t>
  </si>
  <si>
    <t>PARRILLADA SERVIDA</t>
  </si>
  <si>
    <t>GASEOSA SERVIDA</t>
  </si>
  <si>
    <t>PETROLEO</t>
  </si>
  <si>
    <t>CARNE DE CERDO</t>
  </si>
  <si>
    <t>TALLARIN ESPECIAL</t>
  </si>
  <si>
    <t>WANTAN SERVIDO</t>
  </si>
  <si>
    <t>PAVO EN PIE O VIVO</t>
  </si>
  <si>
    <t>PARIHUELA</t>
  </si>
  <si>
    <t>CALDO DE PATA</t>
  </si>
  <si>
    <t>VITAMINA EN POLVO</t>
  </si>
  <si>
    <t>JUEGOS ARTIFICIALES</t>
  </si>
  <si>
    <t>FRITADA DE PESCADO</t>
  </si>
  <si>
    <t>ADORNOS DE NAVIDAD</t>
  </si>
  <si>
    <t>GALLINA EN PIE</t>
  </si>
  <si>
    <t>PASTILLA PARA EL DOLOR DE ESTOMAGO</t>
  </si>
  <si>
    <t>PIERNA DE CHANCHO</t>
  </si>
  <si>
    <t>COLLETE PARA CABELLO</t>
  </si>
  <si>
    <t>JABON DE TOCADOR LIQUIDO</t>
  </si>
  <si>
    <t>FIDEO CABELLO DE ANGEL ENVASADO</t>
  </si>
  <si>
    <t>GOMAS DE MASCAR</t>
  </si>
  <si>
    <t>CHAMPAGNE</t>
  </si>
  <si>
    <t>JAMONADA A GRANEL</t>
  </si>
  <si>
    <t>HELADO DE CREMA ENVASADO FAMILIAR</t>
  </si>
  <si>
    <t>DURAZNO EN CONSERVA</t>
  </si>
  <si>
    <t>ALQUILER DE BA O PUBLICO</t>
  </si>
  <si>
    <t>CEBADA ENTERA TOSTADA A GRANEL</t>
  </si>
  <si>
    <t>UNGUENTO PARA GRIPE</t>
  </si>
  <si>
    <t>MOTE PRECOCIDO</t>
  </si>
  <si>
    <t>CEBADA INSTANTANEA ENVASADA</t>
  </si>
  <si>
    <t>VINO TINTO SECO</t>
  </si>
  <si>
    <t>AYANQUE FRESCO</t>
  </si>
  <si>
    <t>PASTILLA PARA EL DOLOR DE LAS ARTICULACIONES</t>
  </si>
  <si>
    <t>ANIS FILTRANTE</t>
  </si>
  <si>
    <t>MANI TOSTADO ENTERO</t>
  </si>
  <si>
    <t>PAN REDONDO</t>
  </si>
  <si>
    <t>TAMAL DE POLLO SERVIDO</t>
  </si>
  <si>
    <t>ALFAJOR</t>
  </si>
  <si>
    <t>BUDIN</t>
  </si>
  <si>
    <t>PAVITA EVISCERADA</t>
  </si>
  <si>
    <t>QUEQUE DE VAINILLA SERVIDO</t>
  </si>
  <si>
    <t>SAZONADOR CON HONGOS Y LAUREL ENVASADO</t>
  </si>
  <si>
    <t>ESMALTE PARA U AS</t>
  </si>
  <si>
    <t>NECTAR ENVASADO DE DURAZNO</t>
  </si>
  <si>
    <t>PAN DE DULCE</t>
  </si>
  <si>
    <t>HELADO DE CREMA ENVASADO</t>
  </si>
  <si>
    <t>TARJETA DE CUMPLEA OS</t>
  </si>
  <si>
    <t>LECHE ASADA</t>
  </si>
  <si>
    <t>MERMELADA ENVASADA</t>
  </si>
  <si>
    <t>PILA ELECTRICA CHICA</t>
  </si>
  <si>
    <t>PELOTA DE JUGUETE</t>
  </si>
  <si>
    <t>GEL PARA LA INFLAMACION MUSCULAR</t>
  </si>
  <si>
    <t>PAN BAGUETTE</t>
  </si>
  <si>
    <t>DESAYUNO ECONOMICO</t>
  </si>
  <si>
    <t>AREPA DE POLLO</t>
  </si>
  <si>
    <t>JUGO DE PAPAYA SERVIDO</t>
  </si>
  <si>
    <t>MOLLEJAS FRITAS SERVIDAS</t>
  </si>
  <si>
    <t>LECHE EN POLVO MATERNIZADA</t>
  </si>
  <si>
    <t>SOPA WANTAN</t>
  </si>
  <si>
    <t>PASTILLA PARA EL COLESTEROL</t>
  </si>
  <si>
    <t>CERA EN PASTA PARA PISO</t>
  </si>
  <si>
    <t/>
  </si>
  <si>
    <t>( Doble click si estas en el telefono :) )</t>
  </si>
  <si>
    <t>¡Para ver el mensaje, escribe tu nombre en la celda amarilla y preciona 'Enter'!</t>
  </si>
  <si>
    <t>TOALLA</t>
  </si>
  <si>
    <t>3 BOLSAS</t>
  </si>
  <si>
    <t>PAPEL</t>
  </si>
  <si>
    <t>1 PLANCHA</t>
  </si>
  <si>
    <t>LICRA</t>
  </si>
  <si>
    <t>2 CAJAS</t>
  </si>
  <si>
    <t>LIGAS</t>
  </si>
  <si>
    <t>7 CAJAS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</si>
</sst>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59999389629810485"/>
        <bgColor theme="9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2" borderId="0" xfId="0" applyFill="1"/>
    <xf numFmtId="0" fontId="0" fillId="0" borderId="0" xfId="0" applyAlignment="1">
      <alignment horizontal="left"/>
    </xf>
    <xf numFmtId="0" fontId="0" fillId="2" borderId="2" xfId="0" applyFill="1" applyBorder="1" applyAlignment="1">
      <alignment horizontal="left"/>
    </xf>
    <xf numFmtId="0" fontId="0" fillId="2" borderId="2" xfId="0" applyFill="1" applyBorder="1"/>
    <xf numFmtId="0" fontId="0" fillId="3" borderId="1" xfId="0" applyFill="1" applyBorder="1"/>
    <xf numFmtId="0" fontId="0" fillId="5" borderId="0" xfId="0" applyFill="1"/>
    <xf numFmtId="0" fontId="0" fillId="2" borderId="3" xfId="0" applyFill="1" applyBorder="1"/>
    <xf numFmtId="0" fontId="3" fillId="0" borderId="0" xfId="0" applyFont="1" applyAlignment="1">
      <alignment horizontal="center"/>
    </xf>
    <xf numFmtId="0" fontId="0" fillId="0" borderId="4" xfId="0" applyBorder="1"/>
    <xf numFmtId="0" fontId="2" fillId="4" borderId="0" xfId="0" applyFont="1" applyFill="1"/>
    <xf numFmtId="0" fontId="4" fillId="5" borderId="0" xfId="0" applyFont="1" applyFill="1"/>
    <xf numFmtId="0" fontId="0" fillId="6" borderId="6" xfId="0" applyFill="1" applyBorder="1"/>
    <xf numFmtId="0" fontId="0" fillId="6" borderId="7" xfId="0" applyFill="1" applyBorder="1"/>
    <xf numFmtId="0" fontId="0" fillId="5" borderId="5" xfId="0" applyFill="1" applyBorder="1"/>
    <xf numFmtId="0" fontId="0" fillId="5" borderId="8" xfId="0" applyFill="1" applyBorder="1"/>
    <xf numFmtId="0" fontId="0" fillId="6" borderId="1" xfId="0" applyFill="1" applyBorder="1"/>
    <xf numFmtId="0" fontId="0" fillId="6" borderId="1" xfId="0" applyFill="1" applyBorder="1" applyAlignment="1">
      <alignment horizontal="left"/>
    </xf>
    <xf numFmtId="0" fontId="0" fillId="6" borderId="9" xfId="0" applyFill="1" applyBorder="1" applyAlignment="1">
      <alignment horizontal="left" indent="1"/>
    </xf>
    <xf numFmtId="0" fontId="0" fillId="6" borderId="11" xfId="0" applyFill="1" applyBorder="1" applyAlignment="1">
      <alignment horizontal="left" indent="1"/>
    </xf>
    <xf numFmtId="0" fontId="0" fillId="6" borderId="10" xfId="0" applyFill="1" applyBorder="1" applyAlignment="1">
      <alignment horizontal="left" indent="1"/>
    </xf>
    <xf numFmtId="0" fontId="0" fillId="5" borderId="2" xfId="0" applyFill="1" applyBorder="1"/>
    <xf numFmtId="0" fontId="0" fillId="5" borderId="1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0" xfId="0" applyFill="1"/>
    <xf numFmtId="0" fontId="2" fillId="4" borderId="0" xfId="0" applyFont="1" applyFill="1" applyAlignment="1">
      <alignment vertical="center"/>
    </xf>
    <xf numFmtId="0" fontId="2" fillId="4" borderId="0" xfId="0" applyFont="1" applyFill="1" applyAlignment="1">
      <alignment horizontal="center" vertical="center"/>
    </xf>
    <xf numFmtId="0" fontId="5" fillId="5" borderId="0" xfId="0" applyFont="1" applyFill="1"/>
    <xf numFmtId="0" fontId="6" fillId="3" borderId="0" xfId="0" applyFont="1" applyFill="1" applyAlignment="1">
      <alignment horizontal="center" vertical="center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0" fontId="0" fillId="7" borderId="3" xfId="0" applyFill="1" applyBorder="1" applyAlignment="1">
      <alignment horizontal="left"/>
    </xf>
    <xf numFmtId="0" fontId="0" fillId="5" borderId="2" xfId="0" applyFill="1" applyBorder="1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43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0AD47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rgb="FFE2EFDA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A9D18E"/>
      <color rgb="FFE2EFDA"/>
      <color rgb="FF70AD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heetMetadata" Target="metadata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fmlaLink="$U$14" lockText="1" noThreeD="1"/>
</file>

<file path=xl/ctrlProps/ctrlProp2.xml><?xml version="1.0" encoding="utf-8"?>
<formControlPr xmlns="http://schemas.microsoft.com/office/spreadsheetml/2009/9/main" objectType="CheckBox" checked="Checked" fmlaLink="$U$20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257175</xdr:colOff>
      <xdr:row>1</xdr:row>
      <xdr:rowOff>0</xdr:rowOff>
    </xdr:from>
    <xdr:to>
      <xdr:col>11</xdr:col>
      <xdr:colOff>342900</xdr:colOff>
      <xdr:row>8</xdr:row>
      <xdr:rowOff>85725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434CC047-DDD7-BBDF-D9DD-E91CD999E684}"/>
            </a:ext>
          </a:extLst>
        </xdr:cNvPr>
        <xdr:cNvSpPr/>
      </xdr:nvSpPr>
      <xdr:spPr>
        <a:xfrm>
          <a:off x="8248650" y="190500"/>
          <a:ext cx="6076950" cy="14192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600" kern="1200">
              <a:solidFill>
                <a:schemeClr val="tx1"/>
              </a:solidFill>
            </a:rPr>
            <a:t>En esta</a:t>
          </a:r>
          <a:r>
            <a:rPr lang="es-419" sz="1600" kern="1200" baseline="0">
              <a:solidFill>
                <a:schemeClr val="tx1"/>
              </a:solidFill>
            </a:rPr>
            <a:t> seccion podemos observar como es posible multiplicar las celdas B2 con C2, sin importar que esta ultima tenga letras en su  celda.</a:t>
          </a:r>
        </a:p>
        <a:p>
          <a:pPr algn="l"/>
          <a:endParaRPr lang="es-419" sz="1600" kern="1200" baseline="0">
            <a:solidFill>
              <a:schemeClr val="tx1"/>
            </a:solidFill>
          </a:endParaRPr>
        </a:p>
        <a:p>
          <a:pPr algn="l"/>
          <a:r>
            <a:rPr lang="es-419" sz="1600" kern="1200" baseline="0">
              <a:solidFill>
                <a:schemeClr val="tx1"/>
              </a:solidFill>
            </a:rPr>
            <a:t>Ademas usando la funcion SI (IF)donde 'PC' significa "Pequeña Compra"  y  'CG' significa "Compra Grande"</a:t>
          </a:r>
          <a:endParaRPr lang="es-419" sz="1600" kern="12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266700</xdr:colOff>
      <xdr:row>16</xdr:row>
      <xdr:rowOff>180976</xdr:rowOff>
    </xdr:from>
    <xdr:to>
      <xdr:col>8</xdr:col>
      <xdr:colOff>1085850</xdr:colOff>
      <xdr:row>19</xdr:row>
      <xdr:rowOff>47625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26100F96-FAB8-4E37-B440-FE876B43B84F}"/>
            </a:ext>
          </a:extLst>
        </xdr:cNvPr>
        <xdr:cNvSpPr/>
      </xdr:nvSpPr>
      <xdr:spPr>
        <a:xfrm>
          <a:off x="8258175" y="3419476"/>
          <a:ext cx="2343150" cy="438149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600" kern="1200">
              <a:solidFill>
                <a:schemeClr val="tx1"/>
              </a:solidFill>
            </a:rPr>
            <a:t>BUSCARV</a:t>
          </a:r>
          <a:r>
            <a:rPr lang="es-419" sz="1600" kern="1200" baseline="0">
              <a:solidFill>
                <a:schemeClr val="tx1"/>
              </a:solidFill>
            </a:rPr>
            <a:t> (VLOOKUP)</a:t>
          </a:r>
          <a:endParaRPr lang="es-419" sz="1600" kern="12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323850</xdr:colOff>
      <xdr:row>23</xdr:row>
      <xdr:rowOff>28576</xdr:rowOff>
    </xdr:from>
    <xdr:to>
      <xdr:col>8</xdr:col>
      <xdr:colOff>2171700</xdr:colOff>
      <xdr:row>25</xdr:row>
      <xdr:rowOff>85725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A733CC7A-DE17-422C-8A52-904DC1D6FCB4}"/>
            </a:ext>
          </a:extLst>
        </xdr:cNvPr>
        <xdr:cNvSpPr/>
      </xdr:nvSpPr>
      <xdr:spPr>
        <a:xfrm>
          <a:off x="8315325" y="3457576"/>
          <a:ext cx="3371850" cy="438149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600" kern="1200" baseline="0">
              <a:solidFill>
                <a:schemeClr val="tx1"/>
              </a:solidFill>
            </a:rPr>
            <a:t>INDICE, COINCIDIR(INDEX, MATCH)</a:t>
          </a:r>
          <a:endParaRPr lang="es-419" sz="1600" kern="12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19</xdr:row>
          <xdr:rowOff>171450</xdr:rowOff>
        </xdr:from>
        <xdr:to>
          <xdr:col>10</xdr:col>
          <xdr:colOff>466725</xdr:colOff>
          <xdr:row>21</xdr:row>
          <xdr:rowOff>38100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25</xdr:row>
          <xdr:rowOff>133350</xdr:rowOff>
        </xdr:from>
        <xdr:to>
          <xdr:col>10</xdr:col>
          <xdr:colOff>419100</xdr:colOff>
          <xdr:row>26</xdr:row>
          <xdr:rowOff>161925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57150</xdr:colOff>
      <xdr:row>12</xdr:row>
      <xdr:rowOff>38100</xdr:rowOff>
    </xdr:from>
    <xdr:to>
      <xdr:col>8</xdr:col>
      <xdr:colOff>1304925</xdr:colOff>
      <xdr:row>15</xdr:row>
      <xdr:rowOff>142875</xdr:rowOff>
    </xdr:to>
    <xdr:sp macro="[0]!FirstMacroAntony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696250D-FED5-05E3-D8EB-E968B784E15C}"/>
            </a:ext>
          </a:extLst>
        </xdr:cNvPr>
        <xdr:cNvSpPr/>
      </xdr:nvSpPr>
      <xdr:spPr>
        <a:xfrm>
          <a:off x="8810625" y="2514600"/>
          <a:ext cx="2009775" cy="676275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2000" b="1" kern="1200">
              <a:solidFill>
                <a:schemeClr val="bg1"/>
              </a:solidFill>
            </a:rPr>
            <a:t>REGISTRAR</a:t>
          </a:r>
          <a:endParaRPr lang="es-419" sz="11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1619251</xdr:colOff>
      <xdr:row>12</xdr:row>
      <xdr:rowOff>47625</xdr:rowOff>
    </xdr:from>
    <xdr:to>
      <xdr:col>12</xdr:col>
      <xdr:colOff>752476</xdr:colOff>
      <xdr:row>18</xdr:row>
      <xdr:rowOff>47625</xdr:rowOff>
    </xdr:to>
    <xdr:sp macro="" textlink="">
      <xdr:nvSpPr>
        <xdr:cNvPr id="7" name="Rectángulo 1">
          <a:extLst>
            <a:ext uri="{FF2B5EF4-FFF2-40B4-BE49-F238E27FC236}">
              <a16:creationId xmlns:a16="http://schemas.microsoft.com/office/drawing/2014/main" id="{DA224562-FBCC-44C5-ADB0-2E643D06791F}"/>
            </a:ext>
          </a:extLst>
        </xdr:cNvPr>
        <xdr:cNvSpPr/>
      </xdr:nvSpPr>
      <xdr:spPr>
        <a:xfrm>
          <a:off x="11134726" y="2333625"/>
          <a:ext cx="4362450" cy="1143000"/>
        </a:xfrm>
        <a:prstGeom prst="rect">
          <a:avLst/>
        </a:prstGeom>
        <a:solidFill>
          <a:srgbClr val="A9D18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s-419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Recuerda desbloquear el archivo</a:t>
          </a:r>
          <a:r>
            <a:rPr lang="es-419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.XSML en la seccion propiedades y marcando </a:t>
          </a:r>
          <a:r>
            <a:rPr lang="es-419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'desbloquear(unblock)' </a:t>
          </a:r>
          <a:r>
            <a:rPr lang="es-419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 despues aplicar, para el correcto funcionamiento de las macros.</a:t>
          </a:r>
          <a:endParaRPr lang="es-419" sz="1600">
            <a:solidFill>
              <a:schemeClr val="tx1"/>
            </a:solidFill>
            <a:effectLst/>
          </a:endParaRPr>
        </a:p>
        <a:p>
          <a:br>
            <a:rPr lang="es-419" sz="1600"/>
          </a:br>
          <a:endParaRPr lang="es-419" sz="1600" kern="12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11</xdr:col>
      <xdr:colOff>447675</xdr:colOff>
      <xdr:row>19</xdr:row>
      <xdr:rowOff>0</xdr:rowOff>
    </xdr:from>
    <xdr:to>
      <xdr:col>15</xdr:col>
      <xdr:colOff>724364</xdr:colOff>
      <xdr:row>26</xdr:row>
      <xdr:rowOff>9525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975088A-9CA5-1781-6DBD-28A79064ABD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4095"/>
        <a:stretch/>
      </xdr:blipFill>
      <xdr:spPr>
        <a:xfrm>
          <a:off x="14430375" y="3619500"/>
          <a:ext cx="3324689" cy="134302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752476</xdr:colOff>
      <xdr:row>15</xdr:row>
      <xdr:rowOff>47625</xdr:rowOff>
    </xdr:from>
    <xdr:to>
      <xdr:col>13</xdr:col>
      <xdr:colOff>586020</xdr:colOff>
      <xdr:row>19</xdr:row>
      <xdr:rowOff>0</xdr:rowOff>
    </xdr:to>
    <xdr:cxnSp macro="">
      <xdr:nvCxnSpPr>
        <xdr:cNvPr id="9" name="Connector: Elbow 8">
          <a:extLst>
            <a:ext uri="{FF2B5EF4-FFF2-40B4-BE49-F238E27FC236}">
              <a16:creationId xmlns:a16="http://schemas.microsoft.com/office/drawing/2014/main" id="{A62F3D58-2109-4363-889F-E368A55AC371}"/>
            </a:ext>
          </a:extLst>
        </xdr:cNvPr>
        <xdr:cNvCxnSpPr>
          <a:stCxn id="7" idx="3"/>
          <a:endCxn id="8" idx="0"/>
        </xdr:cNvCxnSpPr>
      </xdr:nvCxnSpPr>
      <xdr:spPr>
        <a:xfrm>
          <a:off x="15497176" y="2905125"/>
          <a:ext cx="595544" cy="714375"/>
        </a:xfrm>
        <a:prstGeom prst="bentConnector2">
          <a:avLst/>
        </a:prstGeom>
        <a:ln w="76200">
          <a:solidFill>
            <a:srgbClr val="A9D18E"/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295275</xdr:colOff>
      <xdr:row>5</xdr:row>
      <xdr:rowOff>161924</xdr:rowOff>
    </xdr:from>
    <xdr:to>
      <xdr:col>7</xdr:col>
      <xdr:colOff>428625</xdr:colOff>
      <xdr:row>19</xdr:row>
      <xdr:rowOff>0</xdr:rowOff>
    </xdr:to>
    <xdr:sp macro="" textlink="">
      <xdr:nvSpPr>
        <xdr:cNvPr id="10" name="Rectángulo 1">
          <a:extLst>
            <a:ext uri="{FF2B5EF4-FFF2-40B4-BE49-F238E27FC236}">
              <a16:creationId xmlns:a16="http://schemas.microsoft.com/office/drawing/2014/main" id="{9DCD07F8-29C0-4814-BC64-025562947C5C}"/>
            </a:ext>
          </a:extLst>
        </xdr:cNvPr>
        <xdr:cNvSpPr/>
      </xdr:nvSpPr>
      <xdr:spPr>
        <a:xfrm>
          <a:off x="295275" y="1114424"/>
          <a:ext cx="8886825" cy="2505076"/>
        </a:xfrm>
        <a:prstGeom prst="rect">
          <a:avLst/>
        </a:prstGeom>
        <a:solidFill>
          <a:srgbClr val="A9D18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s-419" sz="28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 usfed estás usando la versión </a:t>
          </a:r>
          <a:r>
            <a:rPr lang="es-419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web de Excel</a:t>
          </a:r>
          <a:r>
            <a:rPr lang="es-419" sz="28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es recomendable usar la versión de escritorio para la correcta funcionalidad de funciones</a:t>
          </a:r>
          <a:r>
            <a:rPr lang="es-419" sz="28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avanzadas.         </a:t>
          </a:r>
        </a:p>
        <a:p>
          <a:r>
            <a:rPr lang="es-419" sz="28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 </a:t>
          </a:r>
        </a:p>
        <a:p>
          <a:r>
            <a:rPr lang="es-419" sz="28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(Borre este cuadro)</a:t>
          </a:r>
          <a:endParaRPr lang="es-419" sz="28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br>
            <a:rPr lang="es-419" sz="1600"/>
          </a:br>
          <a:endParaRPr lang="es-419" sz="1600" kern="12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4</xdr:col>
      <xdr:colOff>790576</xdr:colOff>
      <xdr:row>11</xdr:row>
      <xdr:rowOff>93707</xdr:rowOff>
    </xdr:from>
    <xdr:to>
      <xdr:col>6</xdr:col>
      <xdr:colOff>9525</xdr:colOff>
      <xdr:row>17</xdr:row>
      <xdr:rowOff>84600</xdr:rowOff>
    </xdr:to>
    <xdr:pic>
      <xdr:nvPicPr>
        <xdr:cNvPr id="6" name="Picture 5" descr="Download Attention, Warning, Sign. Royalty-Free Vector Graphic - Pixabay">
          <a:extLst>
            <a:ext uri="{FF2B5EF4-FFF2-40B4-BE49-F238E27FC236}">
              <a16:creationId xmlns:a16="http://schemas.microsoft.com/office/drawing/2014/main" id="{C263FE19-BCB8-4319-B852-2E3DD19BCC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15126" y="2189207"/>
          <a:ext cx="1285874" cy="11338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114302</xdr:colOff>
      <xdr:row>0</xdr:row>
      <xdr:rowOff>99805</xdr:rowOff>
    </xdr:from>
    <xdr:to>
      <xdr:col>9</xdr:col>
      <xdr:colOff>311428</xdr:colOff>
      <xdr:row>13</xdr:row>
      <xdr:rowOff>147430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distrito">
              <a:extLst>
                <a:ext uri="{FF2B5EF4-FFF2-40B4-BE49-F238E27FC236}">
                  <a16:creationId xmlns:a16="http://schemas.microsoft.com/office/drawing/2014/main" id="{706E506A-6B29-2F92-73C9-D4933F64E2F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tri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59889" y="998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5</xdr:col>
      <xdr:colOff>16565</xdr:colOff>
      <xdr:row>14</xdr:row>
      <xdr:rowOff>66261</xdr:rowOff>
    </xdr:from>
    <xdr:to>
      <xdr:col>5</xdr:col>
      <xdr:colOff>2359715</xdr:colOff>
      <xdr:row>16</xdr:row>
      <xdr:rowOff>123410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F1036121-A36F-4D74-9FA7-9B5FF3C5654C}"/>
            </a:ext>
          </a:extLst>
        </xdr:cNvPr>
        <xdr:cNvSpPr/>
      </xdr:nvSpPr>
      <xdr:spPr>
        <a:xfrm>
          <a:off x="6253369" y="2733261"/>
          <a:ext cx="2343150" cy="438149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600" kern="1200">
              <a:solidFill>
                <a:schemeClr val="tx1"/>
              </a:solidFill>
            </a:rPr>
            <a:t>CONTAR.SI (COUNTIF)</a:t>
          </a:r>
        </a:p>
      </xdr:txBody>
    </xdr:sp>
    <xdr:clientData/>
  </xdr:twoCellAnchor>
  <xdr:twoCellAnchor>
    <xdr:from>
      <xdr:col>5</xdr:col>
      <xdr:colOff>11596</xdr:colOff>
      <xdr:row>0</xdr:row>
      <xdr:rowOff>185531</xdr:rowOff>
    </xdr:from>
    <xdr:to>
      <xdr:col>5</xdr:col>
      <xdr:colOff>2354746</xdr:colOff>
      <xdr:row>3</xdr:row>
      <xdr:rowOff>52180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7AACBE6C-EFEF-478A-8ABC-D63E256F5FC2}"/>
            </a:ext>
          </a:extLst>
        </xdr:cNvPr>
        <xdr:cNvSpPr/>
      </xdr:nvSpPr>
      <xdr:spPr>
        <a:xfrm>
          <a:off x="6248400" y="185531"/>
          <a:ext cx="2343150" cy="438149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600" kern="1200">
              <a:solidFill>
                <a:schemeClr val="tx1"/>
              </a:solidFill>
            </a:rPr>
            <a:t>PIVOT TABLE</a:t>
          </a:r>
        </a:p>
      </xdr:txBody>
    </xdr:sp>
    <xdr:clientData/>
  </xdr:twoCellAnchor>
  <xdr:twoCellAnchor>
    <xdr:from>
      <xdr:col>5</xdr:col>
      <xdr:colOff>3313</xdr:colOff>
      <xdr:row>21</xdr:row>
      <xdr:rowOff>86139</xdr:rowOff>
    </xdr:from>
    <xdr:to>
      <xdr:col>5</xdr:col>
      <xdr:colOff>2346463</xdr:colOff>
      <xdr:row>23</xdr:row>
      <xdr:rowOff>143288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9F6E8660-F272-4864-98CC-880B1E83C316}"/>
            </a:ext>
          </a:extLst>
        </xdr:cNvPr>
        <xdr:cNvSpPr/>
      </xdr:nvSpPr>
      <xdr:spPr>
        <a:xfrm>
          <a:off x="6240117" y="4086639"/>
          <a:ext cx="2343150" cy="438149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600" kern="1200">
              <a:solidFill>
                <a:schemeClr val="tx1"/>
              </a:solidFill>
            </a:rPr>
            <a:t>CONCATENAR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38100</xdr:rowOff>
        </xdr:from>
        <xdr:to>
          <xdr:col>0</xdr:col>
          <xdr:colOff>4295775</xdr:colOff>
          <xdr:row>1</xdr:row>
          <xdr:rowOff>28575</xdr:rowOff>
        </xdr:to>
        <xdr:sp macro="" textlink="">
          <xdr:nvSpPr>
            <xdr:cNvPr id="4097" name="TextBox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205153</xdr:colOff>
      <xdr:row>1</xdr:row>
      <xdr:rowOff>124558</xdr:rowOff>
    </xdr:from>
    <xdr:to>
      <xdr:col>13</xdr:col>
      <xdr:colOff>486507</xdr:colOff>
      <xdr:row>13</xdr:row>
      <xdr:rowOff>102577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AA5A65FE-B044-4B9B-A499-F2641171CCBF}"/>
            </a:ext>
          </a:extLst>
        </xdr:cNvPr>
        <xdr:cNvSpPr/>
      </xdr:nvSpPr>
      <xdr:spPr>
        <a:xfrm>
          <a:off x="6696807" y="381000"/>
          <a:ext cx="6362700" cy="2286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600" kern="1200">
              <a:solidFill>
                <a:schemeClr val="tx1"/>
              </a:solidFill>
            </a:rPr>
            <a:t>En esta</a:t>
          </a:r>
          <a:r>
            <a:rPr lang="es-419" sz="1600" kern="1200" baseline="0">
              <a:solidFill>
                <a:schemeClr val="tx1"/>
              </a:solidFill>
            </a:rPr>
            <a:t> seccion podemos observar una tabla con una barra de busqueda el cual nos permite correcta busqueda de informacion.</a:t>
          </a:r>
        </a:p>
        <a:p>
          <a:pPr algn="l"/>
          <a:endParaRPr lang="es-419" sz="1600" kern="1200">
            <a:solidFill>
              <a:schemeClr val="tx1"/>
            </a:solidFill>
          </a:endParaRPr>
        </a:p>
        <a:p>
          <a:pPr algn="l"/>
          <a:r>
            <a:rPr lang="es-419" sz="1600" kern="1200">
              <a:solidFill>
                <a:schemeClr val="tx1"/>
              </a:solidFill>
            </a:rPr>
            <a:t>Con</a:t>
          </a:r>
          <a:r>
            <a:rPr lang="es-419" sz="1600" kern="1200" baseline="0">
              <a:solidFill>
                <a:schemeClr val="tx1"/>
              </a:solidFill>
            </a:rPr>
            <a:t> el uso de funciones como FLTRO, SINUMERO y BSUCAR.</a:t>
          </a:r>
        </a:p>
        <a:p>
          <a:pPr algn="l"/>
          <a:endParaRPr lang="es-419" sz="1600" kern="1200" baseline="0">
            <a:solidFill>
              <a:schemeClr val="tx1"/>
            </a:solidFill>
          </a:endParaRPr>
        </a:p>
        <a:p>
          <a:pPr algn="l"/>
          <a:r>
            <a:rPr lang="es-419" sz="1600" kern="1200">
              <a:solidFill>
                <a:schemeClr val="tx1"/>
              </a:solidFill>
            </a:rPr>
            <a:t>=FILTER(inei_project_pivot_productname__2, ISNUMBER(SEARCH(A1,inei_project_pivot_productname__2[product_name])),"None")</a:t>
          </a:r>
        </a:p>
        <a:p>
          <a:pPr algn="l"/>
          <a:endParaRPr lang="es-419" sz="1600" kern="12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14663</xdr:colOff>
      <xdr:row>0</xdr:row>
      <xdr:rowOff>117231</xdr:rowOff>
    </xdr:from>
    <xdr:to>
      <xdr:col>8</xdr:col>
      <xdr:colOff>345831</xdr:colOff>
      <xdr:row>1</xdr:row>
      <xdr:rowOff>124558</xdr:rowOff>
    </xdr:to>
    <xdr:cxnSp macro="">
      <xdr:nvCxnSpPr>
        <xdr:cNvPr id="4" name="Connector: Elbow 3">
          <a:extLst>
            <a:ext uri="{FF2B5EF4-FFF2-40B4-BE49-F238E27FC236}">
              <a16:creationId xmlns:a16="http://schemas.microsoft.com/office/drawing/2014/main" id="{E9A87492-165F-7E18-39BD-291FCB432DC5}"/>
            </a:ext>
          </a:extLst>
        </xdr:cNvPr>
        <xdr:cNvCxnSpPr>
          <a:stCxn id="2" idx="0"/>
        </xdr:cNvCxnSpPr>
      </xdr:nvCxnSpPr>
      <xdr:spPr>
        <a:xfrm rot="16200000" flipV="1">
          <a:off x="7584103" y="-1913055"/>
          <a:ext cx="263769" cy="4324341"/>
        </a:xfrm>
        <a:prstGeom prst="bentConnector2">
          <a:avLst/>
        </a:prstGeom>
        <a:ln w="76200">
          <a:solidFill>
            <a:srgbClr val="A9D18E"/>
          </a:solidFill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43961</xdr:colOff>
      <xdr:row>17</xdr:row>
      <xdr:rowOff>159726</xdr:rowOff>
    </xdr:from>
    <xdr:to>
      <xdr:col>13</xdr:col>
      <xdr:colOff>490904</xdr:colOff>
      <xdr:row>23</xdr:row>
      <xdr:rowOff>95250</xdr:rowOff>
    </xdr:to>
    <xdr:sp macro="" textlink="">
      <xdr:nvSpPr>
        <xdr:cNvPr id="3" name="Rectángulo 1">
          <a:extLst>
            <a:ext uri="{FF2B5EF4-FFF2-40B4-BE49-F238E27FC236}">
              <a16:creationId xmlns:a16="http://schemas.microsoft.com/office/drawing/2014/main" id="{EBEB676F-E2D4-4CF9-8C19-ADE57B8B2907}"/>
            </a:ext>
          </a:extLst>
        </xdr:cNvPr>
        <xdr:cNvSpPr/>
      </xdr:nvSpPr>
      <xdr:spPr>
        <a:xfrm>
          <a:off x="8360019" y="3486149"/>
          <a:ext cx="4703885" cy="1078524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s-419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 estás</a:t>
          </a:r>
          <a:r>
            <a:rPr lang="es-419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usando la versión web de Excel, es recomendable usar la versión de escritorio para la correcta funcionalidad de la barra de navegación.</a:t>
          </a:r>
          <a:endParaRPr lang="es-419" sz="1600">
            <a:solidFill>
              <a:schemeClr val="tx1"/>
            </a:solidFill>
            <a:effectLst/>
          </a:endParaRPr>
        </a:p>
        <a:p>
          <a:br>
            <a:rPr lang="es-419" sz="1600"/>
          </a:br>
          <a:endParaRPr lang="es-419" sz="1600" kern="12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3</xdr:col>
      <xdr:colOff>205153</xdr:colOff>
      <xdr:row>17</xdr:row>
      <xdr:rowOff>73269</xdr:rowOff>
    </xdr:from>
    <xdr:to>
      <xdr:col>5</xdr:col>
      <xdr:colOff>467053</xdr:colOff>
      <xdr:row>24</xdr:row>
      <xdr:rowOff>43229</xdr:rowOff>
    </xdr:to>
    <xdr:pic>
      <xdr:nvPicPr>
        <xdr:cNvPr id="5" name="Picture 4" descr="Download Attention, Warning, Sign. Royalty-Free Vector Graphic - Pixabay">
          <a:extLst>
            <a:ext uri="{FF2B5EF4-FFF2-40B4-BE49-F238E27FC236}">
              <a16:creationId xmlns:a16="http://schemas.microsoft.com/office/drawing/2014/main" id="{12423201-3862-4430-C844-772A7E3B48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96807" y="3399692"/>
          <a:ext cx="1478169" cy="1303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y Zarate Davila" refreshedDate="45624.967271875001" createdVersion="8" refreshedVersion="8" minRefreshableVersion="3" recordCount="1000" xr:uid="{5362B24D-BEB8-4286-972B-82D61238C5C6}">
  <cacheSource type="worksheet">
    <worksheetSource ref="A1:D1001" sheet="Pivot"/>
  </cacheSource>
  <cacheFields count="4">
    <cacheField name="mes" numFmtId="0">
      <sharedItems containsSemiMixedTypes="0" containsString="0" containsNumber="1" containsInteger="1" minValue="1" maxValue="12"/>
    </cacheField>
    <cacheField name="distrito" numFmtId="0">
      <sharedItems count="299">
        <s v="Huacrachuco"/>
        <s v="Huachocolpa"/>
        <s v="San Felipe"/>
        <s v="Huambalpa"/>
        <s v="Jose Luis Bustamante y Rivero"/>
        <s v="Mollebaya"/>
        <s v="Cerro Colorado"/>
        <s v="El Algarrobal"/>
        <s v="Abancay"/>
        <s v="San Pablo"/>
        <s v="La Punta"/>
        <s v="Balsapuerto"/>
        <s v="Tarata"/>
        <s v="Huarmey"/>
        <s v="San Jose de Sisa"/>
        <s v="Chorrillos"/>
        <s v="Manuel Antonio Mesones Muro"/>
        <s v="Cuyocuyo"/>
        <s v="Otuzco"/>
        <s v="Trujillo"/>
        <s v="Concepcion"/>
        <s v="Puno"/>
        <s v="Huancabamba"/>
        <s v="Chincha Alta"/>
        <s v="San Francisco"/>
        <s v="Conayca"/>
        <s v="Huayacundo Arma"/>
        <s v="Poroy"/>
        <s v="Contumaza"/>
        <s v="Carmen Salcedo"/>
        <s v="Huanca"/>
        <s v="San Juan de Siguas"/>
        <s v="Santa Ana de Tusi"/>
        <s v="Curpahuasi"/>
        <s v="Tamburco"/>
        <s v="Padre Abad"/>
        <s v="Padre Marquez"/>
        <s v="San Jacinto"/>
        <s v="Estique"/>
        <s v="Fernando Lores"/>
        <s v="Pararin"/>
        <s v="Rioja"/>
        <s v="La Molina"/>
        <s v="Lima"/>
        <s v="Eten Puerto"/>
        <s v="Calapuja"/>
        <s v="Victor Larco Herrera"/>
        <s v="Chambara"/>
        <s v="Bagua Grande"/>
        <s v="Sondor"/>
        <s v="Pisco"/>
        <s v="La Tingui a"/>
        <s v="Pampas"/>
        <s v="La Union"/>
        <s v="Santiago"/>
        <s v="Callayuc"/>
        <s v="Cajamarca"/>
        <s v="Chiara"/>
        <s v="Yura"/>
        <s v="Chontabamba"/>
        <s v="Haquira"/>
        <s v="Coalaque"/>
        <s v="Manu"/>
        <s v="Ramon Castilla"/>
        <s v="San Juan de La Virgen"/>
        <s v="Ilabaya"/>
        <s v="Carhuapampa"/>
        <s v="Llamellin"/>
        <s v="Picota"/>
        <s v="El Eslabon"/>
        <s v="Cabana"/>
        <s v="Lagunas"/>
        <s v="Santiago de Chuco"/>
        <s v="Huamachuco"/>
        <s v="Canchayllo"/>
        <s v="Huancayo"/>
        <s v="Huarmaca"/>
        <s v="Palpa"/>
        <s v="Parcona"/>
        <s v="Huanuco"/>
        <s v="Ambo"/>
        <s v="Saylla"/>
        <s v="Tacabamba"/>
        <s v="Santa Rosa"/>
        <s v="Aplao"/>
        <s v="Polobaya"/>
        <s v="Pacocha"/>
        <s v="Pachaconas"/>
        <s v="Chacoche"/>
        <s v="Manantay"/>
        <s v="La Perla"/>
        <s v="Alto Tapiche"/>
        <s v="Tumbes"/>
        <s v="Napo"/>
        <s v="Iquitos"/>
        <s v="Gorgor"/>
        <s v="Cu umbuqui"/>
        <s v="Huari"/>
        <s v="Eten"/>
        <s v="Ayaviri"/>
        <s v="Ollachea"/>
        <s v="Manzanares"/>
        <s v="Lonya Grande"/>
        <s v="Florida"/>
        <s v="Ayabaca"/>
        <s v="Catacaos"/>
        <s v="San Jeronimo"/>
        <s v="Colpas"/>
        <s v="Oxamarca"/>
        <s v="Tambillo"/>
        <s v="Vitor"/>
        <s v="Progreso"/>
        <s v="Chalhuanca"/>
        <s v="Laberinto"/>
        <s v="Yarinacocha"/>
        <s v="Contamana"/>
        <s v="San Juan Bautista"/>
        <s v="Inclan"/>
        <s v="San Buenaventura"/>
        <s v="Cajatambo"/>
        <s v="Lurin"/>
        <s v="Huacaschuque"/>
        <s v="Picsi"/>
        <s v="Chiclayo"/>
        <s v="Cochorco"/>
        <s v="Plateria"/>
        <s v="Chilca"/>
        <s v="Jazan"/>
        <s v="Chachapoyas"/>
        <s v="Las Lomas"/>
        <s v="Ayavi"/>
        <s v="San Sebastian"/>
        <s v="Jaen"/>
        <s v="Coracora"/>
        <s v="Mariano Nicolas Valcarcel"/>
        <s v="Queque a"/>
        <s v="Huariaca"/>
        <s v="Challhuahuacho"/>
        <s v="Cuchumbaya"/>
        <s v="Barranca"/>
        <s v="Calleria"/>
        <s v="Jeberos"/>
        <s v="Heroes Albarracin"/>
        <s v="Mazan"/>
        <s v="Huaros"/>
        <s v="Tocache"/>
        <s v="Lurigancho"/>
        <s v="Caraz"/>
        <s v="Huaraz"/>
        <s v="Huayo"/>
        <s v="Mu ani"/>
        <s v="Heroinas Toledo"/>
        <s v="Coata"/>
        <s v="Aramango"/>
        <s v="Cura Mori"/>
        <s v="Panao"/>
        <s v="Ccorca"/>
        <s v="Churcampa"/>
        <s v="Santa Cruz"/>
        <s v="Pacapausa"/>
        <s v="Acos Vinchos"/>
        <s v="Yarabamba"/>
        <s v="Oxapampa"/>
        <s v="Arequipa"/>
        <s v="Chojata"/>
        <s v="Raymondi"/>
        <s v="Sarayacu"/>
        <s v="Callao"/>
        <s v="Yurimaguas"/>
        <s v="Putumayo"/>
        <s v="Chaccho"/>
        <s v="Buenos Aires"/>
        <s v="Pinto Recodo"/>
        <s v="Bre a"/>
        <s v="Reque"/>
        <s v="Macari"/>
        <s v="Inchupalla"/>
        <s v="Amantani"/>
        <s v="Chacapampa"/>
        <s v="El Carmen de La Frontera"/>
        <s v="Sapillica"/>
        <s v="San Jose de los Molinos"/>
        <s v="Churubamba"/>
        <s v="Huancavelica"/>
        <s v="Dean Valdivia"/>
        <s v="Santa Isabel de Siguas"/>
        <s v="Ninacaca"/>
        <s v="Yanaca"/>
        <s v="Carumas"/>
        <s v="Tambopata"/>
        <s v="Pampa Hermosa"/>
        <s v="Requena"/>
        <s v="Punchana"/>
        <s v="Acas"/>
        <s v="Lachaqui"/>
        <s v="Pucusana"/>
        <s v="Saposoa"/>
        <s v="La Pampa"/>
        <s v="Chongoyape"/>
        <s v="Cabanilla"/>
        <s v="Apata"/>
        <s v="Cajaruro"/>
        <s v="Bagua"/>
        <s v="Frias"/>
        <s v="Ica"/>
        <s v="Huayllahuara"/>
        <s v="Cusco"/>
        <s v="Celendin"/>
        <s v="Jesus Nazareno"/>
        <s v="Cabanaconde"/>
        <s v="Pocsi"/>
        <s v="Chaupimarca"/>
        <s v="Tambobamba"/>
        <s v="San Cristobal"/>
        <s v="Yurua"/>
        <s v="Masisea"/>
        <s v="Vargas Guerra"/>
        <s v="Teniente Manuel Clavero"/>
        <s v="Tacna"/>
        <s v="Yauya"/>
        <s v="Copa"/>
        <s v="Caynarachi"/>
        <s v="Carabayllo"/>
        <s v="Huanchay"/>
        <s v="Ongon"/>
        <s v="Lampa"/>
        <s v="Tarma"/>
        <s v="Chicche"/>
        <s v="San Miguel de El Faique"/>
        <s v="La Jalca"/>
        <s v="Yauca del Rosario"/>
        <s v="Bambamarca"/>
        <s v="Cajabamba"/>
        <s v="Quinua"/>
        <s v="Mariano Melgar"/>
        <s v="Castilla"/>
        <s v="Characato"/>
        <s v="Toraya"/>
        <s v="Sepahua"/>
        <s v="Nueva Requena"/>
        <s v="Carmen de La Legua"/>
        <s v="Pampas de Hospital"/>
        <s v="Indiana"/>
        <s v="Alto Nanay"/>
        <s v="Recuay"/>
        <s v="Pueblo Libre"/>
        <s v="Comas"/>
        <s v="Pueblo Nuevo"/>
        <s v="Nu oa"/>
        <s v="Marcabal"/>
        <s v="Achaya"/>
        <s v="Chupuro"/>
        <s v="Capachica"/>
        <s v="Sicchez"/>
        <s v="Chota"/>
        <s v="San Miguel"/>
        <s v="Alto Selva Alegre"/>
        <s v="Paucarpata"/>
        <s v="Miraflores"/>
        <s v="Ichu a"/>
        <s v="I apari"/>
        <s v="Yavari"/>
        <s v="Matapalo"/>
        <s v="Belen"/>
        <s v="Las Amazonas"/>
        <s v="Canta"/>
        <s v="Juanjui"/>
        <s v="Tauca"/>
        <s v="Corongo"/>
        <s v="Sandia"/>
        <s v="Juli"/>
        <s v="Cochas"/>
        <s v="Pichacani"/>
        <s v="La Peca"/>
        <s v="Grocio Prado"/>
        <s v="Cuenca"/>
        <s v="La Esperanza"/>
        <s v="Llacanora"/>
        <s v="Ayacucho"/>
        <s v="Yanahuara"/>
        <s v="Piura"/>
        <s v="Cayma"/>
        <s v="Tintay"/>
        <s v="Moquegua"/>
        <s v="Iparia"/>
        <s v="Bellavista"/>
        <s v="Corrales"/>
        <s v="Torres Causana"/>
        <s v="Chacas"/>
        <s v="Pomabamba"/>
        <s v="Pachacamac"/>
        <s v="Moyobamba"/>
        <s v="Chiquian"/>
        <s v="San Pedro de Lloc"/>
        <s v="Chupa"/>
        <s v="Aco"/>
        <s v="Lamud"/>
        <s v="Olleros"/>
        <s v="Tambo Grande"/>
      </sharedItems>
    </cacheField>
    <cacheField name="product_name" numFmtId="0">
      <sharedItems count="4">
        <s v="HUEVO DE GALLINA ROSADO A GRANEL"/>
        <s v="LECHE EVAPORADA"/>
        <s v="ARROZ CORRIENTE A GRANEL"/>
        <s v="GALLINA EVISCERADA"/>
      </sharedItems>
    </cacheField>
    <cacheField name="monto_total" numFmtId="0">
      <sharedItems containsSemiMixedTypes="0" containsString="0" containsNumber="1" containsInteger="1" minValue="2" maxValue="10" count="3">
        <n v="2"/>
        <n v="3"/>
        <n v="10"/>
      </sharedItems>
    </cacheField>
  </cacheFields>
  <extLst>
    <ext xmlns:x14="http://schemas.microsoft.com/office/spreadsheetml/2009/9/main" uri="{725AE2AE-9491-48be-B2B4-4EB974FC3084}">
      <x14:pivotCacheDefinition pivotCacheId="62333887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"/>
    <x v="0"/>
    <x v="0"/>
    <x v="0"/>
  </r>
  <r>
    <n v="1"/>
    <x v="1"/>
    <x v="0"/>
    <x v="0"/>
  </r>
  <r>
    <n v="1"/>
    <x v="2"/>
    <x v="0"/>
    <x v="0"/>
  </r>
  <r>
    <n v="1"/>
    <x v="3"/>
    <x v="0"/>
    <x v="0"/>
  </r>
  <r>
    <n v="1"/>
    <x v="4"/>
    <x v="0"/>
    <x v="0"/>
  </r>
  <r>
    <n v="1"/>
    <x v="5"/>
    <x v="0"/>
    <x v="0"/>
  </r>
  <r>
    <n v="1"/>
    <x v="6"/>
    <x v="0"/>
    <x v="0"/>
  </r>
  <r>
    <n v="1"/>
    <x v="7"/>
    <x v="0"/>
    <x v="0"/>
  </r>
  <r>
    <n v="1"/>
    <x v="8"/>
    <x v="0"/>
    <x v="0"/>
  </r>
  <r>
    <n v="1"/>
    <x v="9"/>
    <x v="0"/>
    <x v="0"/>
  </r>
  <r>
    <n v="1"/>
    <x v="10"/>
    <x v="0"/>
    <x v="0"/>
  </r>
  <r>
    <n v="1"/>
    <x v="11"/>
    <x v="0"/>
    <x v="0"/>
  </r>
  <r>
    <n v="1"/>
    <x v="12"/>
    <x v="0"/>
    <x v="0"/>
  </r>
  <r>
    <n v="1"/>
    <x v="13"/>
    <x v="0"/>
    <x v="0"/>
  </r>
  <r>
    <n v="1"/>
    <x v="14"/>
    <x v="0"/>
    <x v="0"/>
  </r>
  <r>
    <n v="1"/>
    <x v="15"/>
    <x v="0"/>
    <x v="0"/>
  </r>
  <r>
    <n v="1"/>
    <x v="16"/>
    <x v="0"/>
    <x v="0"/>
  </r>
  <r>
    <n v="1"/>
    <x v="17"/>
    <x v="0"/>
    <x v="0"/>
  </r>
  <r>
    <n v="1"/>
    <x v="18"/>
    <x v="0"/>
    <x v="0"/>
  </r>
  <r>
    <n v="1"/>
    <x v="19"/>
    <x v="0"/>
    <x v="0"/>
  </r>
  <r>
    <n v="1"/>
    <x v="20"/>
    <x v="0"/>
    <x v="0"/>
  </r>
  <r>
    <n v="1"/>
    <x v="21"/>
    <x v="0"/>
    <x v="0"/>
  </r>
  <r>
    <n v="1"/>
    <x v="22"/>
    <x v="0"/>
    <x v="0"/>
  </r>
  <r>
    <n v="1"/>
    <x v="23"/>
    <x v="0"/>
    <x v="0"/>
  </r>
  <r>
    <n v="1"/>
    <x v="24"/>
    <x v="1"/>
    <x v="1"/>
  </r>
  <r>
    <n v="1"/>
    <x v="25"/>
    <x v="1"/>
    <x v="1"/>
  </r>
  <r>
    <n v="2"/>
    <x v="26"/>
    <x v="0"/>
    <x v="0"/>
  </r>
  <r>
    <n v="2"/>
    <x v="27"/>
    <x v="0"/>
    <x v="0"/>
  </r>
  <r>
    <n v="2"/>
    <x v="28"/>
    <x v="0"/>
    <x v="0"/>
  </r>
  <r>
    <n v="2"/>
    <x v="29"/>
    <x v="0"/>
    <x v="0"/>
  </r>
  <r>
    <n v="2"/>
    <x v="30"/>
    <x v="0"/>
    <x v="0"/>
  </r>
  <r>
    <n v="2"/>
    <x v="31"/>
    <x v="0"/>
    <x v="0"/>
  </r>
  <r>
    <n v="2"/>
    <x v="32"/>
    <x v="0"/>
    <x v="0"/>
  </r>
  <r>
    <n v="2"/>
    <x v="33"/>
    <x v="0"/>
    <x v="0"/>
  </r>
  <r>
    <n v="2"/>
    <x v="34"/>
    <x v="0"/>
    <x v="0"/>
  </r>
  <r>
    <n v="2"/>
    <x v="35"/>
    <x v="0"/>
    <x v="0"/>
  </r>
  <r>
    <n v="2"/>
    <x v="36"/>
    <x v="0"/>
    <x v="0"/>
  </r>
  <r>
    <n v="2"/>
    <x v="37"/>
    <x v="0"/>
    <x v="0"/>
  </r>
  <r>
    <n v="2"/>
    <x v="38"/>
    <x v="0"/>
    <x v="0"/>
  </r>
  <r>
    <n v="2"/>
    <x v="39"/>
    <x v="0"/>
    <x v="0"/>
  </r>
  <r>
    <n v="2"/>
    <x v="40"/>
    <x v="0"/>
    <x v="0"/>
  </r>
  <r>
    <n v="2"/>
    <x v="41"/>
    <x v="0"/>
    <x v="0"/>
  </r>
  <r>
    <n v="2"/>
    <x v="42"/>
    <x v="0"/>
    <x v="0"/>
  </r>
  <r>
    <n v="2"/>
    <x v="43"/>
    <x v="0"/>
    <x v="0"/>
  </r>
  <r>
    <n v="2"/>
    <x v="44"/>
    <x v="0"/>
    <x v="0"/>
  </r>
  <r>
    <n v="2"/>
    <x v="45"/>
    <x v="0"/>
    <x v="0"/>
  </r>
  <r>
    <n v="2"/>
    <x v="46"/>
    <x v="0"/>
    <x v="0"/>
  </r>
  <r>
    <n v="2"/>
    <x v="47"/>
    <x v="0"/>
    <x v="0"/>
  </r>
  <r>
    <n v="2"/>
    <x v="48"/>
    <x v="0"/>
    <x v="0"/>
  </r>
  <r>
    <n v="2"/>
    <x v="49"/>
    <x v="0"/>
    <x v="0"/>
  </r>
  <r>
    <n v="2"/>
    <x v="50"/>
    <x v="0"/>
    <x v="0"/>
  </r>
  <r>
    <n v="2"/>
    <x v="51"/>
    <x v="0"/>
    <x v="0"/>
  </r>
  <r>
    <n v="2"/>
    <x v="52"/>
    <x v="1"/>
    <x v="1"/>
  </r>
  <r>
    <n v="2"/>
    <x v="27"/>
    <x v="1"/>
    <x v="1"/>
  </r>
  <r>
    <n v="3"/>
    <x v="53"/>
    <x v="0"/>
    <x v="0"/>
  </r>
  <r>
    <n v="3"/>
    <x v="54"/>
    <x v="0"/>
    <x v="0"/>
  </r>
  <r>
    <n v="3"/>
    <x v="55"/>
    <x v="0"/>
    <x v="0"/>
  </r>
  <r>
    <n v="3"/>
    <x v="56"/>
    <x v="0"/>
    <x v="0"/>
  </r>
  <r>
    <n v="3"/>
    <x v="57"/>
    <x v="0"/>
    <x v="0"/>
  </r>
  <r>
    <n v="3"/>
    <x v="58"/>
    <x v="0"/>
    <x v="0"/>
  </r>
  <r>
    <n v="3"/>
    <x v="59"/>
    <x v="0"/>
    <x v="0"/>
  </r>
  <r>
    <n v="3"/>
    <x v="60"/>
    <x v="0"/>
    <x v="0"/>
  </r>
  <r>
    <n v="3"/>
    <x v="61"/>
    <x v="0"/>
    <x v="0"/>
  </r>
  <r>
    <n v="3"/>
    <x v="62"/>
    <x v="0"/>
    <x v="0"/>
  </r>
  <r>
    <n v="3"/>
    <x v="63"/>
    <x v="0"/>
    <x v="0"/>
  </r>
  <r>
    <n v="3"/>
    <x v="64"/>
    <x v="0"/>
    <x v="0"/>
  </r>
  <r>
    <n v="3"/>
    <x v="65"/>
    <x v="0"/>
    <x v="0"/>
  </r>
  <r>
    <n v="3"/>
    <x v="66"/>
    <x v="0"/>
    <x v="0"/>
  </r>
  <r>
    <n v="3"/>
    <x v="67"/>
    <x v="0"/>
    <x v="0"/>
  </r>
  <r>
    <n v="3"/>
    <x v="68"/>
    <x v="0"/>
    <x v="0"/>
  </r>
  <r>
    <n v="3"/>
    <x v="69"/>
    <x v="0"/>
    <x v="0"/>
  </r>
  <r>
    <n v="3"/>
    <x v="70"/>
    <x v="0"/>
    <x v="0"/>
  </r>
  <r>
    <n v="3"/>
    <x v="71"/>
    <x v="0"/>
    <x v="0"/>
  </r>
  <r>
    <n v="3"/>
    <x v="72"/>
    <x v="0"/>
    <x v="0"/>
  </r>
  <r>
    <n v="3"/>
    <x v="73"/>
    <x v="0"/>
    <x v="0"/>
  </r>
  <r>
    <n v="3"/>
    <x v="74"/>
    <x v="0"/>
    <x v="0"/>
  </r>
  <r>
    <n v="3"/>
    <x v="75"/>
    <x v="0"/>
    <x v="0"/>
  </r>
  <r>
    <n v="3"/>
    <x v="76"/>
    <x v="0"/>
    <x v="0"/>
  </r>
  <r>
    <n v="3"/>
    <x v="77"/>
    <x v="0"/>
    <x v="0"/>
  </r>
  <r>
    <n v="3"/>
    <x v="78"/>
    <x v="0"/>
    <x v="0"/>
  </r>
  <r>
    <n v="3"/>
    <x v="79"/>
    <x v="1"/>
    <x v="1"/>
  </r>
  <r>
    <n v="3"/>
    <x v="54"/>
    <x v="1"/>
    <x v="1"/>
  </r>
  <r>
    <n v="4"/>
    <x v="80"/>
    <x v="0"/>
    <x v="0"/>
  </r>
  <r>
    <n v="4"/>
    <x v="81"/>
    <x v="0"/>
    <x v="0"/>
  </r>
  <r>
    <n v="4"/>
    <x v="82"/>
    <x v="0"/>
    <x v="0"/>
  </r>
  <r>
    <n v="4"/>
    <x v="83"/>
    <x v="0"/>
    <x v="0"/>
  </r>
  <r>
    <n v="4"/>
    <x v="84"/>
    <x v="0"/>
    <x v="0"/>
  </r>
  <r>
    <n v="4"/>
    <x v="85"/>
    <x v="0"/>
    <x v="0"/>
  </r>
  <r>
    <n v="4"/>
    <x v="86"/>
    <x v="0"/>
    <x v="0"/>
  </r>
  <r>
    <n v="4"/>
    <x v="87"/>
    <x v="0"/>
    <x v="0"/>
  </r>
  <r>
    <n v="4"/>
    <x v="88"/>
    <x v="0"/>
    <x v="0"/>
  </r>
  <r>
    <n v="4"/>
    <x v="89"/>
    <x v="0"/>
    <x v="0"/>
  </r>
  <r>
    <n v="4"/>
    <x v="90"/>
    <x v="0"/>
    <x v="0"/>
  </r>
  <r>
    <n v="4"/>
    <x v="91"/>
    <x v="0"/>
    <x v="0"/>
  </r>
  <r>
    <n v="4"/>
    <x v="92"/>
    <x v="0"/>
    <x v="0"/>
  </r>
  <r>
    <n v="4"/>
    <x v="93"/>
    <x v="0"/>
    <x v="0"/>
  </r>
  <r>
    <n v="4"/>
    <x v="94"/>
    <x v="0"/>
    <x v="0"/>
  </r>
  <r>
    <n v="4"/>
    <x v="95"/>
    <x v="0"/>
    <x v="0"/>
  </r>
  <r>
    <n v="4"/>
    <x v="96"/>
    <x v="0"/>
    <x v="0"/>
  </r>
  <r>
    <n v="4"/>
    <x v="97"/>
    <x v="0"/>
    <x v="0"/>
  </r>
  <r>
    <n v="4"/>
    <x v="98"/>
    <x v="0"/>
    <x v="0"/>
  </r>
  <r>
    <n v="4"/>
    <x v="99"/>
    <x v="0"/>
    <x v="0"/>
  </r>
  <r>
    <n v="4"/>
    <x v="100"/>
    <x v="0"/>
    <x v="0"/>
  </r>
  <r>
    <n v="4"/>
    <x v="101"/>
    <x v="0"/>
    <x v="0"/>
  </r>
  <r>
    <n v="4"/>
    <x v="102"/>
    <x v="0"/>
    <x v="0"/>
  </r>
  <r>
    <n v="4"/>
    <x v="103"/>
    <x v="0"/>
    <x v="0"/>
  </r>
  <r>
    <n v="4"/>
    <x v="104"/>
    <x v="0"/>
    <x v="0"/>
  </r>
  <r>
    <n v="4"/>
    <x v="105"/>
    <x v="0"/>
    <x v="0"/>
  </r>
  <r>
    <n v="4"/>
    <x v="26"/>
    <x v="1"/>
    <x v="1"/>
  </r>
  <r>
    <n v="4"/>
    <x v="106"/>
    <x v="1"/>
    <x v="1"/>
  </r>
  <r>
    <n v="5"/>
    <x v="107"/>
    <x v="0"/>
    <x v="0"/>
  </r>
  <r>
    <n v="5"/>
    <x v="25"/>
    <x v="0"/>
    <x v="0"/>
  </r>
  <r>
    <n v="5"/>
    <x v="108"/>
    <x v="0"/>
    <x v="0"/>
  </r>
  <r>
    <n v="5"/>
    <x v="109"/>
    <x v="0"/>
    <x v="0"/>
  </r>
  <r>
    <n v="5"/>
    <x v="110"/>
    <x v="0"/>
    <x v="0"/>
  </r>
  <r>
    <n v="5"/>
    <x v="22"/>
    <x v="0"/>
    <x v="0"/>
  </r>
  <r>
    <n v="5"/>
    <x v="111"/>
    <x v="0"/>
    <x v="0"/>
  </r>
  <r>
    <n v="5"/>
    <x v="112"/>
    <x v="0"/>
    <x v="0"/>
  </r>
  <r>
    <n v="5"/>
    <x v="113"/>
    <x v="0"/>
    <x v="0"/>
  </r>
  <r>
    <n v="5"/>
    <x v="114"/>
    <x v="0"/>
    <x v="0"/>
  </r>
  <r>
    <n v="5"/>
    <x v="115"/>
    <x v="0"/>
    <x v="0"/>
  </r>
  <r>
    <n v="5"/>
    <x v="116"/>
    <x v="0"/>
    <x v="0"/>
  </r>
  <r>
    <n v="5"/>
    <x v="117"/>
    <x v="0"/>
    <x v="0"/>
  </r>
  <r>
    <n v="5"/>
    <x v="118"/>
    <x v="0"/>
    <x v="0"/>
  </r>
  <r>
    <n v="5"/>
    <x v="119"/>
    <x v="0"/>
    <x v="0"/>
  </r>
  <r>
    <n v="5"/>
    <x v="120"/>
    <x v="0"/>
    <x v="0"/>
  </r>
  <r>
    <n v="5"/>
    <x v="121"/>
    <x v="0"/>
    <x v="0"/>
  </r>
  <r>
    <n v="5"/>
    <x v="122"/>
    <x v="0"/>
    <x v="0"/>
  </r>
  <r>
    <n v="5"/>
    <x v="123"/>
    <x v="0"/>
    <x v="0"/>
  </r>
  <r>
    <n v="5"/>
    <x v="124"/>
    <x v="0"/>
    <x v="0"/>
  </r>
  <r>
    <n v="5"/>
    <x v="125"/>
    <x v="0"/>
    <x v="0"/>
  </r>
  <r>
    <n v="5"/>
    <x v="126"/>
    <x v="0"/>
    <x v="0"/>
  </r>
  <r>
    <n v="5"/>
    <x v="127"/>
    <x v="0"/>
    <x v="0"/>
  </r>
  <r>
    <n v="5"/>
    <x v="128"/>
    <x v="0"/>
    <x v="0"/>
  </r>
  <r>
    <n v="5"/>
    <x v="129"/>
    <x v="0"/>
    <x v="0"/>
  </r>
  <r>
    <n v="5"/>
    <x v="80"/>
    <x v="1"/>
    <x v="1"/>
  </r>
  <r>
    <n v="5"/>
    <x v="81"/>
    <x v="1"/>
    <x v="1"/>
  </r>
  <r>
    <n v="6"/>
    <x v="130"/>
    <x v="0"/>
    <x v="0"/>
  </r>
  <r>
    <n v="6"/>
    <x v="131"/>
    <x v="0"/>
    <x v="0"/>
  </r>
  <r>
    <n v="6"/>
    <x v="132"/>
    <x v="0"/>
    <x v="0"/>
  </r>
  <r>
    <n v="6"/>
    <x v="133"/>
    <x v="0"/>
    <x v="0"/>
  </r>
  <r>
    <n v="6"/>
    <x v="134"/>
    <x v="0"/>
    <x v="0"/>
  </r>
  <r>
    <n v="6"/>
    <x v="135"/>
    <x v="0"/>
    <x v="0"/>
  </r>
  <r>
    <n v="6"/>
    <x v="136"/>
    <x v="0"/>
    <x v="0"/>
  </r>
  <r>
    <n v="6"/>
    <x v="137"/>
    <x v="0"/>
    <x v="0"/>
  </r>
  <r>
    <n v="6"/>
    <x v="138"/>
    <x v="0"/>
    <x v="0"/>
  </r>
  <r>
    <n v="6"/>
    <x v="139"/>
    <x v="0"/>
    <x v="0"/>
  </r>
  <r>
    <n v="6"/>
    <x v="140"/>
    <x v="0"/>
    <x v="0"/>
  </r>
  <r>
    <n v="6"/>
    <x v="141"/>
    <x v="0"/>
    <x v="0"/>
  </r>
  <r>
    <n v="6"/>
    <x v="142"/>
    <x v="0"/>
    <x v="0"/>
  </r>
  <r>
    <n v="6"/>
    <x v="143"/>
    <x v="0"/>
    <x v="0"/>
  </r>
  <r>
    <n v="6"/>
    <x v="144"/>
    <x v="0"/>
    <x v="0"/>
  </r>
  <r>
    <n v="6"/>
    <x v="145"/>
    <x v="0"/>
    <x v="0"/>
  </r>
  <r>
    <n v="6"/>
    <x v="146"/>
    <x v="0"/>
    <x v="0"/>
  </r>
  <r>
    <n v="6"/>
    <x v="147"/>
    <x v="0"/>
    <x v="0"/>
  </r>
  <r>
    <n v="6"/>
    <x v="148"/>
    <x v="0"/>
    <x v="0"/>
  </r>
  <r>
    <n v="6"/>
    <x v="149"/>
    <x v="0"/>
    <x v="0"/>
  </r>
  <r>
    <n v="6"/>
    <x v="150"/>
    <x v="0"/>
    <x v="0"/>
  </r>
  <r>
    <n v="6"/>
    <x v="151"/>
    <x v="0"/>
    <x v="0"/>
  </r>
  <r>
    <n v="6"/>
    <x v="152"/>
    <x v="0"/>
    <x v="0"/>
  </r>
  <r>
    <n v="6"/>
    <x v="153"/>
    <x v="0"/>
    <x v="0"/>
  </r>
  <r>
    <n v="6"/>
    <x v="154"/>
    <x v="0"/>
    <x v="0"/>
  </r>
  <r>
    <n v="6"/>
    <x v="155"/>
    <x v="1"/>
    <x v="1"/>
  </r>
  <r>
    <n v="6"/>
    <x v="130"/>
    <x v="1"/>
    <x v="1"/>
  </r>
  <r>
    <n v="6"/>
    <x v="156"/>
    <x v="1"/>
    <x v="1"/>
  </r>
  <r>
    <n v="7"/>
    <x v="157"/>
    <x v="0"/>
    <x v="0"/>
  </r>
  <r>
    <n v="7"/>
    <x v="106"/>
    <x v="0"/>
    <x v="0"/>
  </r>
  <r>
    <n v="7"/>
    <x v="158"/>
    <x v="0"/>
    <x v="0"/>
  </r>
  <r>
    <n v="7"/>
    <x v="159"/>
    <x v="0"/>
    <x v="0"/>
  </r>
  <r>
    <n v="7"/>
    <x v="160"/>
    <x v="0"/>
    <x v="0"/>
  </r>
  <r>
    <n v="7"/>
    <x v="161"/>
    <x v="0"/>
    <x v="0"/>
  </r>
  <r>
    <n v="7"/>
    <x v="162"/>
    <x v="0"/>
    <x v="0"/>
  </r>
  <r>
    <n v="7"/>
    <x v="163"/>
    <x v="0"/>
    <x v="0"/>
  </r>
  <r>
    <n v="7"/>
    <x v="164"/>
    <x v="0"/>
    <x v="0"/>
  </r>
  <r>
    <n v="7"/>
    <x v="165"/>
    <x v="0"/>
    <x v="0"/>
  </r>
  <r>
    <n v="7"/>
    <x v="166"/>
    <x v="0"/>
    <x v="0"/>
  </r>
  <r>
    <n v="7"/>
    <x v="167"/>
    <x v="0"/>
    <x v="0"/>
  </r>
  <r>
    <n v="7"/>
    <x v="168"/>
    <x v="0"/>
    <x v="0"/>
  </r>
  <r>
    <n v="7"/>
    <x v="169"/>
    <x v="0"/>
    <x v="0"/>
  </r>
  <r>
    <n v="7"/>
    <x v="170"/>
    <x v="0"/>
    <x v="0"/>
  </r>
  <r>
    <n v="7"/>
    <x v="171"/>
    <x v="0"/>
    <x v="0"/>
  </r>
  <r>
    <n v="7"/>
    <x v="172"/>
    <x v="0"/>
    <x v="0"/>
  </r>
  <r>
    <n v="7"/>
    <x v="173"/>
    <x v="0"/>
    <x v="0"/>
  </r>
  <r>
    <n v="7"/>
    <x v="174"/>
    <x v="0"/>
    <x v="0"/>
  </r>
  <r>
    <n v="7"/>
    <x v="175"/>
    <x v="0"/>
    <x v="0"/>
  </r>
  <r>
    <n v="7"/>
    <x v="176"/>
    <x v="0"/>
    <x v="0"/>
  </r>
  <r>
    <n v="7"/>
    <x v="177"/>
    <x v="0"/>
    <x v="0"/>
  </r>
  <r>
    <n v="7"/>
    <x v="178"/>
    <x v="0"/>
    <x v="0"/>
  </r>
  <r>
    <n v="7"/>
    <x v="179"/>
    <x v="0"/>
    <x v="0"/>
  </r>
  <r>
    <n v="7"/>
    <x v="180"/>
    <x v="0"/>
    <x v="0"/>
  </r>
  <r>
    <n v="7"/>
    <x v="181"/>
    <x v="0"/>
    <x v="0"/>
  </r>
  <r>
    <n v="7"/>
    <x v="182"/>
    <x v="1"/>
    <x v="1"/>
  </r>
  <r>
    <n v="7"/>
    <x v="131"/>
    <x v="1"/>
    <x v="1"/>
  </r>
  <r>
    <n v="8"/>
    <x v="79"/>
    <x v="0"/>
    <x v="0"/>
  </r>
  <r>
    <n v="8"/>
    <x v="183"/>
    <x v="0"/>
    <x v="0"/>
  </r>
  <r>
    <n v="8"/>
    <x v="9"/>
    <x v="0"/>
    <x v="0"/>
  </r>
  <r>
    <n v="8"/>
    <x v="70"/>
    <x v="0"/>
    <x v="0"/>
  </r>
  <r>
    <n v="8"/>
    <x v="184"/>
    <x v="0"/>
    <x v="0"/>
  </r>
  <r>
    <n v="8"/>
    <x v="185"/>
    <x v="0"/>
    <x v="0"/>
  </r>
  <r>
    <n v="8"/>
    <x v="186"/>
    <x v="0"/>
    <x v="0"/>
  </r>
  <r>
    <n v="8"/>
    <x v="187"/>
    <x v="0"/>
    <x v="0"/>
  </r>
  <r>
    <n v="8"/>
    <x v="188"/>
    <x v="0"/>
    <x v="0"/>
  </r>
  <r>
    <n v="8"/>
    <x v="189"/>
    <x v="0"/>
    <x v="0"/>
  </r>
  <r>
    <n v="8"/>
    <x v="190"/>
    <x v="0"/>
    <x v="0"/>
  </r>
  <r>
    <n v="8"/>
    <x v="191"/>
    <x v="0"/>
    <x v="0"/>
  </r>
  <r>
    <n v="8"/>
    <x v="192"/>
    <x v="0"/>
    <x v="0"/>
  </r>
  <r>
    <n v="8"/>
    <x v="193"/>
    <x v="0"/>
    <x v="0"/>
  </r>
  <r>
    <n v="8"/>
    <x v="194"/>
    <x v="0"/>
    <x v="0"/>
  </r>
  <r>
    <n v="8"/>
    <x v="195"/>
    <x v="0"/>
    <x v="0"/>
  </r>
  <r>
    <n v="8"/>
    <x v="196"/>
    <x v="0"/>
    <x v="0"/>
  </r>
  <r>
    <n v="8"/>
    <x v="197"/>
    <x v="0"/>
    <x v="0"/>
  </r>
  <r>
    <n v="8"/>
    <x v="198"/>
    <x v="0"/>
    <x v="0"/>
  </r>
  <r>
    <n v="8"/>
    <x v="199"/>
    <x v="0"/>
    <x v="0"/>
  </r>
  <r>
    <n v="8"/>
    <x v="200"/>
    <x v="0"/>
    <x v="0"/>
  </r>
  <r>
    <n v="8"/>
    <x v="201"/>
    <x v="0"/>
    <x v="0"/>
  </r>
  <r>
    <n v="8"/>
    <x v="202"/>
    <x v="0"/>
    <x v="0"/>
  </r>
  <r>
    <n v="8"/>
    <x v="203"/>
    <x v="0"/>
    <x v="0"/>
  </r>
  <r>
    <n v="8"/>
    <x v="204"/>
    <x v="0"/>
    <x v="0"/>
  </r>
  <r>
    <n v="8"/>
    <x v="205"/>
    <x v="1"/>
    <x v="1"/>
  </r>
  <r>
    <n v="8"/>
    <x v="206"/>
    <x v="1"/>
    <x v="1"/>
  </r>
  <r>
    <n v="9"/>
    <x v="24"/>
    <x v="0"/>
    <x v="0"/>
  </r>
  <r>
    <n v="9"/>
    <x v="205"/>
    <x v="0"/>
    <x v="0"/>
  </r>
  <r>
    <n v="9"/>
    <x v="207"/>
    <x v="0"/>
    <x v="0"/>
  </r>
  <r>
    <n v="9"/>
    <x v="208"/>
    <x v="0"/>
    <x v="0"/>
  </r>
  <r>
    <n v="9"/>
    <x v="209"/>
    <x v="0"/>
    <x v="0"/>
  </r>
  <r>
    <n v="9"/>
    <x v="210"/>
    <x v="0"/>
    <x v="0"/>
  </r>
  <r>
    <n v="9"/>
    <x v="211"/>
    <x v="0"/>
    <x v="0"/>
  </r>
  <r>
    <n v="9"/>
    <x v="212"/>
    <x v="0"/>
    <x v="0"/>
  </r>
  <r>
    <n v="9"/>
    <x v="213"/>
    <x v="0"/>
    <x v="0"/>
  </r>
  <r>
    <n v="9"/>
    <x v="214"/>
    <x v="0"/>
    <x v="0"/>
  </r>
  <r>
    <n v="9"/>
    <x v="215"/>
    <x v="0"/>
    <x v="0"/>
  </r>
  <r>
    <n v="9"/>
    <x v="216"/>
    <x v="0"/>
    <x v="0"/>
  </r>
  <r>
    <n v="9"/>
    <x v="217"/>
    <x v="0"/>
    <x v="0"/>
  </r>
  <r>
    <n v="9"/>
    <x v="218"/>
    <x v="0"/>
    <x v="0"/>
  </r>
  <r>
    <n v="9"/>
    <x v="219"/>
    <x v="0"/>
    <x v="0"/>
  </r>
  <r>
    <n v="9"/>
    <x v="220"/>
    <x v="0"/>
    <x v="0"/>
  </r>
  <r>
    <n v="9"/>
    <x v="221"/>
    <x v="0"/>
    <x v="0"/>
  </r>
  <r>
    <n v="9"/>
    <x v="222"/>
    <x v="0"/>
    <x v="0"/>
  </r>
  <r>
    <n v="9"/>
    <x v="223"/>
    <x v="0"/>
    <x v="0"/>
  </r>
  <r>
    <n v="9"/>
    <x v="224"/>
    <x v="0"/>
    <x v="0"/>
  </r>
  <r>
    <n v="9"/>
    <x v="225"/>
    <x v="0"/>
    <x v="0"/>
  </r>
  <r>
    <n v="9"/>
    <x v="226"/>
    <x v="0"/>
    <x v="0"/>
  </r>
  <r>
    <n v="9"/>
    <x v="227"/>
    <x v="0"/>
    <x v="0"/>
  </r>
  <r>
    <n v="9"/>
    <x v="228"/>
    <x v="0"/>
    <x v="0"/>
  </r>
  <r>
    <n v="9"/>
    <x v="229"/>
    <x v="0"/>
    <x v="0"/>
  </r>
  <r>
    <n v="9"/>
    <x v="230"/>
    <x v="0"/>
    <x v="0"/>
  </r>
  <r>
    <n v="9"/>
    <x v="107"/>
    <x v="1"/>
    <x v="1"/>
  </r>
  <r>
    <n v="9"/>
    <x v="183"/>
    <x v="1"/>
    <x v="1"/>
  </r>
  <r>
    <n v="10"/>
    <x v="155"/>
    <x v="0"/>
    <x v="0"/>
  </r>
  <r>
    <n v="10"/>
    <x v="206"/>
    <x v="0"/>
    <x v="0"/>
  </r>
  <r>
    <n v="10"/>
    <x v="231"/>
    <x v="0"/>
    <x v="0"/>
  </r>
  <r>
    <n v="10"/>
    <x v="232"/>
    <x v="0"/>
    <x v="0"/>
  </r>
  <r>
    <n v="10"/>
    <x v="233"/>
    <x v="0"/>
    <x v="0"/>
  </r>
  <r>
    <n v="10"/>
    <x v="234"/>
    <x v="0"/>
    <x v="0"/>
  </r>
  <r>
    <n v="10"/>
    <x v="235"/>
    <x v="0"/>
    <x v="0"/>
  </r>
  <r>
    <n v="10"/>
    <x v="236"/>
    <x v="0"/>
    <x v="0"/>
  </r>
  <r>
    <n v="10"/>
    <x v="237"/>
    <x v="0"/>
    <x v="0"/>
  </r>
  <r>
    <n v="10"/>
    <x v="238"/>
    <x v="0"/>
    <x v="0"/>
  </r>
  <r>
    <n v="10"/>
    <x v="239"/>
    <x v="0"/>
    <x v="0"/>
  </r>
  <r>
    <n v="10"/>
    <x v="240"/>
    <x v="0"/>
    <x v="0"/>
  </r>
  <r>
    <n v="10"/>
    <x v="241"/>
    <x v="0"/>
    <x v="0"/>
  </r>
  <r>
    <n v="10"/>
    <x v="242"/>
    <x v="0"/>
    <x v="0"/>
  </r>
  <r>
    <n v="10"/>
    <x v="243"/>
    <x v="0"/>
    <x v="0"/>
  </r>
  <r>
    <n v="10"/>
    <x v="244"/>
    <x v="0"/>
    <x v="0"/>
  </r>
  <r>
    <n v="10"/>
    <x v="245"/>
    <x v="0"/>
    <x v="0"/>
  </r>
  <r>
    <n v="10"/>
    <x v="246"/>
    <x v="0"/>
    <x v="0"/>
  </r>
  <r>
    <n v="10"/>
    <x v="247"/>
    <x v="0"/>
    <x v="0"/>
  </r>
  <r>
    <n v="10"/>
    <x v="248"/>
    <x v="0"/>
    <x v="0"/>
  </r>
  <r>
    <n v="10"/>
    <x v="249"/>
    <x v="0"/>
    <x v="0"/>
  </r>
  <r>
    <n v="10"/>
    <x v="250"/>
    <x v="0"/>
    <x v="0"/>
  </r>
  <r>
    <n v="10"/>
    <x v="251"/>
    <x v="0"/>
    <x v="0"/>
  </r>
  <r>
    <n v="10"/>
    <x v="252"/>
    <x v="0"/>
    <x v="0"/>
  </r>
  <r>
    <n v="10"/>
    <x v="253"/>
    <x v="0"/>
    <x v="0"/>
  </r>
  <r>
    <n v="10"/>
    <x v="53"/>
    <x v="0"/>
    <x v="0"/>
  </r>
  <r>
    <n v="10"/>
    <x v="157"/>
    <x v="1"/>
    <x v="1"/>
  </r>
  <r>
    <n v="10"/>
    <x v="9"/>
    <x v="1"/>
    <x v="1"/>
  </r>
  <r>
    <n v="11"/>
    <x v="52"/>
    <x v="0"/>
    <x v="0"/>
  </r>
  <r>
    <n v="11"/>
    <x v="156"/>
    <x v="0"/>
    <x v="0"/>
  </r>
  <r>
    <n v="11"/>
    <x v="254"/>
    <x v="0"/>
    <x v="0"/>
  </r>
  <r>
    <n v="11"/>
    <x v="255"/>
    <x v="0"/>
    <x v="0"/>
  </r>
  <r>
    <n v="11"/>
    <x v="256"/>
    <x v="0"/>
    <x v="0"/>
  </r>
  <r>
    <n v="11"/>
    <x v="257"/>
    <x v="0"/>
    <x v="0"/>
  </r>
  <r>
    <n v="11"/>
    <x v="258"/>
    <x v="0"/>
    <x v="0"/>
  </r>
  <r>
    <n v="11"/>
    <x v="259"/>
    <x v="0"/>
    <x v="0"/>
  </r>
  <r>
    <n v="11"/>
    <x v="260"/>
    <x v="0"/>
    <x v="0"/>
  </r>
  <r>
    <n v="11"/>
    <x v="261"/>
    <x v="0"/>
    <x v="0"/>
  </r>
  <r>
    <n v="11"/>
    <x v="262"/>
    <x v="0"/>
    <x v="0"/>
  </r>
  <r>
    <n v="11"/>
    <x v="263"/>
    <x v="0"/>
    <x v="0"/>
  </r>
  <r>
    <n v="11"/>
    <x v="264"/>
    <x v="0"/>
    <x v="0"/>
  </r>
  <r>
    <n v="11"/>
    <x v="265"/>
    <x v="0"/>
    <x v="0"/>
  </r>
  <r>
    <n v="11"/>
    <x v="266"/>
    <x v="0"/>
    <x v="0"/>
  </r>
  <r>
    <n v="11"/>
    <x v="267"/>
    <x v="0"/>
    <x v="0"/>
  </r>
  <r>
    <n v="11"/>
    <x v="268"/>
    <x v="0"/>
    <x v="0"/>
  </r>
  <r>
    <n v="11"/>
    <x v="269"/>
    <x v="0"/>
    <x v="0"/>
  </r>
  <r>
    <n v="11"/>
    <x v="270"/>
    <x v="0"/>
    <x v="0"/>
  </r>
  <r>
    <n v="11"/>
    <x v="271"/>
    <x v="0"/>
    <x v="0"/>
  </r>
  <r>
    <n v="11"/>
    <x v="272"/>
    <x v="0"/>
    <x v="0"/>
  </r>
  <r>
    <n v="11"/>
    <x v="273"/>
    <x v="0"/>
    <x v="0"/>
  </r>
  <r>
    <n v="11"/>
    <x v="274"/>
    <x v="0"/>
    <x v="0"/>
  </r>
  <r>
    <n v="11"/>
    <x v="0"/>
    <x v="1"/>
    <x v="1"/>
  </r>
  <r>
    <n v="11"/>
    <x v="1"/>
    <x v="1"/>
    <x v="1"/>
  </r>
  <r>
    <n v="11"/>
    <x v="158"/>
    <x v="1"/>
    <x v="1"/>
  </r>
  <r>
    <n v="12"/>
    <x v="182"/>
    <x v="0"/>
    <x v="0"/>
  </r>
  <r>
    <n v="12"/>
    <x v="275"/>
    <x v="0"/>
    <x v="0"/>
  </r>
  <r>
    <n v="12"/>
    <x v="276"/>
    <x v="0"/>
    <x v="0"/>
  </r>
  <r>
    <n v="12"/>
    <x v="277"/>
    <x v="0"/>
    <x v="0"/>
  </r>
  <r>
    <n v="12"/>
    <x v="278"/>
    <x v="0"/>
    <x v="0"/>
  </r>
  <r>
    <n v="12"/>
    <x v="279"/>
    <x v="0"/>
    <x v="0"/>
  </r>
  <r>
    <n v="12"/>
    <x v="280"/>
    <x v="0"/>
    <x v="0"/>
  </r>
  <r>
    <n v="12"/>
    <x v="281"/>
    <x v="0"/>
    <x v="0"/>
  </r>
  <r>
    <n v="12"/>
    <x v="282"/>
    <x v="0"/>
    <x v="0"/>
  </r>
  <r>
    <n v="12"/>
    <x v="283"/>
    <x v="0"/>
    <x v="0"/>
  </r>
  <r>
    <n v="12"/>
    <x v="284"/>
    <x v="0"/>
    <x v="0"/>
  </r>
  <r>
    <n v="12"/>
    <x v="285"/>
    <x v="0"/>
    <x v="0"/>
  </r>
  <r>
    <n v="12"/>
    <x v="286"/>
    <x v="0"/>
    <x v="0"/>
  </r>
  <r>
    <n v="12"/>
    <x v="287"/>
    <x v="0"/>
    <x v="0"/>
  </r>
  <r>
    <n v="12"/>
    <x v="288"/>
    <x v="0"/>
    <x v="0"/>
  </r>
  <r>
    <n v="12"/>
    <x v="289"/>
    <x v="0"/>
    <x v="0"/>
  </r>
  <r>
    <n v="12"/>
    <x v="290"/>
    <x v="0"/>
    <x v="0"/>
  </r>
  <r>
    <n v="12"/>
    <x v="291"/>
    <x v="0"/>
    <x v="0"/>
  </r>
  <r>
    <n v="12"/>
    <x v="292"/>
    <x v="0"/>
    <x v="0"/>
  </r>
  <r>
    <n v="12"/>
    <x v="293"/>
    <x v="0"/>
    <x v="0"/>
  </r>
  <r>
    <n v="12"/>
    <x v="294"/>
    <x v="0"/>
    <x v="0"/>
  </r>
  <r>
    <n v="12"/>
    <x v="295"/>
    <x v="0"/>
    <x v="0"/>
  </r>
  <r>
    <n v="12"/>
    <x v="296"/>
    <x v="0"/>
    <x v="0"/>
  </r>
  <r>
    <n v="12"/>
    <x v="297"/>
    <x v="0"/>
    <x v="0"/>
  </r>
  <r>
    <n v="12"/>
    <x v="298"/>
    <x v="0"/>
    <x v="0"/>
  </r>
  <r>
    <n v="12"/>
    <x v="53"/>
    <x v="1"/>
    <x v="1"/>
  </r>
  <r>
    <n v="12"/>
    <x v="275"/>
    <x v="1"/>
    <x v="1"/>
  </r>
  <r>
    <n v="12"/>
    <x v="276"/>
    <x v="1"/>
    <x v="1"/>
  </r>
  <r>
    <n v="12"/>
    <x v="2"/>
    <x v="1"/>
    <x v="1"/>
  </r>
  <r>
    <n v="12"/>
    <x v="132"/>
    <x v="1"/>
    <x v="1"/>
  </r>
  <r>
    <n v="12"/>
    <x v="231"/>
    <x v="1"/>
    <x v="1"/>
  </r>
  <r>
    <n v="12"/>
    <x v="82"/>
    <x v="1"/>
    <x v="1"/>
  </r>
  <r>
    <n v="12"/>
    <x v="254"/>
    <x v="1"/>
    <x v="1"/>
  </r>
  <r>
    <n v="12"/>
    <x v="55"/>
    <x v="1"/>
    <x v="1"/>
  </r>
  <r>
    <n v="12"/>
    <x v="28"/>
    <x v="1"/>
    <x v="1"/>
  </r>
  <r>
    <n v="12"/>
    <x v="108"/>
    <x v="1"/>
    <x v="1"/>
  </r>
  <r>
    <n v="12"/>
    <x v="207"/>
    <x v="1"/>
    <x v="1"/>
  </r>
  <r>
    <n v="12"/>
    <x v="232"/>
    <x v="1"/>
    <x v="1"/>
  </r>
  <r>
    <n v="12"/>
    <x v="277"/>
    <x v="1"/>
    <x v="1"/>
  </r>
  <r>
    <n v="12"/>
    <x v="56"/>
    <x v="1"/>
    <x v="1"/>
  </r>
  <r>
    <n v="12"/>
    <x v="3"/>
    <x v="1"/>
    <x v="1"/>
  </r>
  <r>
    <n v="12"/>
    <x v="159"/>
    <x v="1"/>
    <x v="1"/>
  </r>
  <r>
    <n v="12"/>
    <x v="133"/>
    <x v="1"/>
    <x v="1"/>
  </r>
  <r>
    <n v="12"/>
    <x v="29"/>
    <x v="1"/>
    <x v="1"/>
  </r>
  <r>
    <n v="12"/>
    <x v="70"/>
    <x v="1"/>
    <x v="1"/>
  </r>
  <r>
    <n v="12"/>
    <x v="83"/>
    <x v="1"/>
    <x v="1"/>
  </r>
  <r>
    <n v="12"/>
    <x v="255"/>
    <x v="1"/>
    <x v="1"/>
  </r>
  <r>
    <n v="12"/>
    <x v="208"/>
    <x v="1"/>
    <x v="1"/>
  </r>
  <r>
    <n v="12"/>
    <x v="109"/>
    <x v="1"/>
    <x v="1"/>
  </r>
  <r>
    <n v="12"/>
    <x v="233"/>
    <x v="1"/>
    <x v="1"/>
  </r>
  <r>
    <n v="12"/>
    <x v="57"/>
    <x v="1"/>
    <x v="1"/>
  </r>
  <r>
    <n v="12"/>
    <x v="160"/>
    <x v="1"/>
    <x v="1"/>
  </r>
  <r>
    <n v="12"/>
    <x v="278"/>
    <x v="1"/>
    <x v="1"/>
  </r>
  <r>
    <n v="12"/>
    <x v="184"/>
    <x v="1"/>
    <x v="1"/>
  </r>
  <r>
    <n v="12"/>
    <x v="84"/>
    <x v="1"/>
    <x v="1"/>
  </r>
  <r>
    <n v="12"/>
    <x v="134"/>
    <x v="1"/>
    <x v="1"/>
  </r>
  <r>
    <n v="12"/>
    <x v="30"/>
    <x v="1"/>
    <x v="1"/>
  </r>
  <r>
    <n v="12"/>
    <x v="209"/>
    <x v="1"/>
    <x v="1"/>
  </r>
  <r>
    <n v="12"/>
    <x v="4"/>
    <x v="1"/>
    <x v="1"/>
  </r>
  <r>
    <n v="12"/>
    <x v="256"/>
    <x v="1"/>
    <x v="1"/>
  </r>
  <r>
    <n v="12"/>
    <x v="234"/>
    <x v="1"/>
    <x v="1"/>
  </r>
  <r>
    <n v="12"/>
    <x v="58"/>
    <x v="1"/>
    <x v="1"/>
  </r>
  <r>
    <n v="12"/>
    <x v="161"/>
    <x v="1"/>
    <x v="1"/>
  </r>
  <r>
    <n v="12"/>
    <x v="279"/>
    <x v="1"/>
    <x v="1"/>
  </r>
  <r>
    <n v="12"/>
    <x v="110"/>
    <x v="1"/>
    <x v="1"/>
  </r>
  <r>
    <n v="12"/>
    <x v="185"/>
    <x v="1"/>
    <x v="1"/>
  </r>
  <r>
    <n v="12"/>
    <x v="31"/>
    <x v="1"/>
    <x v="1"/>
  </r>
  <r>
    <n v="12"/>
    <x v="135"/>
    <x v="1"/>
    <x v="1"/>
  </r>
  <r>
    <n v="12"/>
    <x v="85"/>
    <x v="1"/>
    <x v="1"/>
  </r>
  <r>
    <n v="12"/>
    <x v="210"/>
    <x v="1"/>
    <x v="1"/>
  </r>
  <r>
    <n v="12"/>
    <x v="257"/>
    <x v="1"/>
    <x v="1"/>
  </r>
  <r>
    <n v="12"/>
    <x v="5"/>
    <x v="1"/>
    <x v="1"/>
  </r>
  <r>
    <n v="12"/>
    <x v="235"/>
    <x v="1"/>
    <x v="1"/>
  </r>
  <r>
    <n v="12"/>
    <x v="280"/>
    <x v="1"/>
    <x v="1"/>
  </r>
  <r>
    <n v="12"/>
    <x v="22"/>
    <x v="1"/>
    <x v="1"/>
  </r>
  <r>
    <n v="12"/>
    <x v="59"/>
    <x v="1"/>
    <x v="1"/>
  </r>
  <r>
    <n v="12"/>
    <x v="162"/>
    <x v="1"/>
    <x v="1"/>
  </r>
  <r>
    <n v="12"/>
    <x v="32"/>
    <x v="1"/>
    <x v="1"/>
  </r>
  <r>
    <n v="12"/>
    <x v="186"/>
    <x v="1"/>
    <x v="1"/>
  </r>
  <r>
    <n v="12"/>
    <x v="136"/>
    <x v="1"/>
    <x v="1"/>
  </r>
  <r>
    <n v="12"/>
    <x v="211"/>
    <x v="1"/>
    <x v="1"/>
  </r>
  <r>
    <n v="12"/>
    <x v="86"/>
    <x v="1"/>
    <x v="1"/>
  </r>
  <r>
    <n v="12"/>
    <x v="258"/>
    <x v="1"/>
    <x v="1"/>
  </r>
  <r>
    <n v="12"/>
    <x v="236"/>
    <x v="1"/>
    <x v="1"/>
  </r>
  <r>
    <n v="12"/>
    <x v="6"/>
    <x v="1"/>
    <x v="1"/>
  </r>
  <r>
    <n v="12"/>
    <x v="281"/>
    <x v="1"/>
    <x v="1"/>
  </r>
  <r>
    <n v="12"/>
    <x v="163"/>
    <x v="1"/>
    <x v="1"/>
  </r>
  <r>
    <n v="12"/>
    <x v="111"/>
    <x v="1"/>
    <x v="1"/>
  </r>
  <r>
    <n v="12"/>
    <x v="33"/>
    <x v="1"/>
    <x v="1"/>
  </r>
  <r>
    <n v="12"/>
    <x v="137"/>
    <x v="1"/>
    <x v="1"/>
  </r>
  <r>
    <n v="12"/>
    <x v="60"/>
    <x v="1"/>
    <x v="1"/>
  </r>
  <r>
    <n v="12"/>
    <x v="212"/>
    <x v="1"/>
    <x v="1"/>
  </r>
  <r>
    <n v="12"/>
    <x v="87"/>
    <x v="1"/>
    <x v="1"/>
  </r>
  <r>
    <n v="12"/>
    <x v="187"/>
    <x v="1"/>
    <x v="1"/>
  </r>
  <r>
    <n v="12"/>
    <x v="7"/>
    <x v="1"/>
    <x v="1"/>
  </r>
  <r>
    <n v="12"/>
    <x v="237"/>
    <x v="1"/>
    <x v="1"/>
  </r>
  <r>
    <n v="12"/>
    <x v="259"/>
    <x v="1"/>
    <x v="1"/>
  </r>
  <r>
    <n v="12"/>
    <x v="282"/>
    <x v="1"/>
    <x v="1"/>
  </r>
  <r>
    <n v="12"/>
    <x v="164"/>
    <x v="1"/>
    <x v="1"/>
  </r>
  <r>
    <n v="12"/>
    <x v="112"/>
    <x v="1"/>
    <x v="1"/>
  </r>
  <r>
    <n v="12"/>
    <x v="61"/>
    <x v="1"/>
    <x v="1"/>
  </r>
  <r>
    <n v="12"/>
    <x v="213"/>
    <x v="1"/>
    <x v="1"/>
  </r>
  <r>
    <n v="12"/>
    <x v="34"/>
    <x v="1"/>
    <x v="1"/>
  </r>
  <r>
    <n v="12"/>
    <x v="138"/>
    <x v="1"/>
    <x v="1"/>
  </r>
  <r>
    <n v="12"/>
    <x v="88"/>
    <x v="1"/>
    <x v="1"/>
  </r>
  <r>
    <n v="12"/>
    <x v="188"/>
    <x v="1"/>
    <x v="1"/>
  </r>
  <r>
    <n v="12"/>
    <x v="8"/>
    <x v="1"/>
    <x v="1"/>
  </r>
  <r>
    <n v="12"/>
    <x v="283"/>
    <x v="1"/>
    <x v="1"/>
  </r>
  <r>
    <n v="12"/>
    <x v="238"/>
    <x v="1"/>
    <x v="1"/>
  </r>
  <r>
    <n v="12"/>
    <x v="260"/>
    <x v="1"/>
    <x v="1"/>
  </r>
  <r>
    <n v="12"/>
    <x v="62"/>
    <x v="1"/>
    <x v="1"/>
  </r>
  <r>
    <n v="12"/>
    <x v="214"/>
    <x v="1"/>
    <x v="1"/>
  </r>
  <r>
    <n v="12"/>
    <x v="165"/>
    <x v="1"/>
    <x v="1"/>
  </r>
  <r>
    <n v="12"/>
    <x v="113"/>
    <x v="1"/>
    <x v="1"/>
  </r>
  <r>
    <n v="12"/>
    <x v="189"/>
    <x v="1"/>
    <x v="1"/>
  </r>
  <r>
    <n v="12"/>
    <x v="35"/>
    <x v="1"/>
    <x v="1"/>
  </r>
  <r>
    <n v="12"/>
    <x v="139"/>
    <x v="1"/>
    <x v="1"/>
  </r>
  <r>
    <n v="12"/>
    <x v="89"/>
    <x v="1"/>
    <x v="1"/>
  </r>
  <r>
    <n v="12"/>
    <x v="9"/>
    <x v="1"/>
    <x v="1"/>
  </r>
  <r>
    <n v="12"/>
    <x v="239"/>
    <x v="1"/>
    <x v="1"/>
  </r>
  <r>
    <n v="12"/>
    <x v="284"/>
    <x v="1"/>
    <x v="1"/>
  </r>
  <r>
    <n v="12"/>
    <x v="215"/>
    <x v="1"/>
    <x v="1"/>
  </r>
  <r>
    <n v="12"/>
    <x v="261"/>
    <x v="1"/>
    <x v="1"/>
  </r>
  <r>
    <n v="12"/>
    <x v="63"/>
    <x v="1"/>
    <x v="1"/>
  </r>
  <r>
    <n v="12"/>
    <x v="166"/>
    <x v="1"/>
    <x v="1"/>
  </r>
  <r>
    <n v="12"/>
    <x v="114"/>
    <x v="1"/>
    <x v="1"/>
  </r>
  <r>
    <n v="12"/>
    <x v="140"/>
    <x v="1"/>
    <x v="1"/>
  </r>
  <r>
    <n v="12"/>
    <x v="190"/>
    <x v="1"/>
    <x v="1"/>
  </r>
  <r>
    <n v="12"/>
    <x v="90"/>
    <x v="1"/>
    <x v="1"/>
  </r>
  <r>
    <n v="12"/>
    <x v="36"/>
    <x v="1"/>
    <x v="1"/>
  </r>
  <r>
    <n v="12"/>
    <x v="240"/>
    <x v="1"/>
    <x v="1"/>
  </r>
  <r>
    <n v="12"/>
    <x v="10"/>
    <x v="1"/>
    <x v="1"/>
  </r>
  <r>
    <n v="12"/>
    <x v="285"/>
    <x v="1"/>
    <x v="1"/>
  </r>
  <r>
    <n v="12"/>
    <x v="216"/>
    <x v="1"/>
    <x v="1"/>
  </r>
  <r>
    <n v="12"/>
    <x v="167"/>
    <x v="1"/>
    <x v="1"/>
  </r>
  <r>
    <n v="12"/>
    <x v="115"/>
    <x v="1"/>
    <x v="1"/>
  </r>
  <r>
    <n v="12"/>
    <x v="262"/>
    <x v="1"/>
    <x v="1"/>
  </r>
  <r>
    <n v="12"/>
    <x v="91"/>
    <x v="1"/>
    <x v="1"/>
  </r>
  <r>
    <n v="12"/>
    <x v="64"/>
    <x v="1"/>
    <x v="1"/>
  </r>
  <r>
    <n v="12"/>
    <x v="191"/>
    <x v="1"/>
    <x v="1"/>
  </r>
  <r>
    <n v="12"/>
    <x v="37"/>
    <x v="1"/>
    <x v="1"/>
  </r>
  <r>
    <n v="12"/>
    <x v="141"/>
    <x v="1"/>
    <x v="1"/>
  </r>
  <r>
    <n v="12"/>
    <x v="241"/>
    <x v="1"/>
    <x v="1"/>
  </r>
  <r>
    <n v="12"/>
    <x v="11"/>
    <x v="1"/>
    <x v="1"/>
  </r>
  <r>
    <n v="12"/>
    <x v="168"/>
    <x v="1"/>
    <x v="1"/>
  </r>
  <r>
    <n v="12"/>
    <x v="286"/>
    <x v="1"/>
    <x v="1"/>
  </r>
  <r>
    <n v="12"/>
    <x v="217"/>
    <x v="1"/>
    <x v="1"/>
  </r>
  <r>
    <n v="12"/>
    <x v="116"/>
    <x v="1"/>
    <x v="1"/>
  </r>
  <r>
    <n v="12"/>
    <x v="92"/>
    <x v="1"/>
    <x v="1"/>
  </r>
  <r>
    <n v="12"/>
    <x v="65"/>
    <x v="1"/>
    <x v="1"/>
  </r>
  <r>
    <n v="12"/>
    <x v="263"/>
    <x v="1"/>
    <x v="1"/>
  </r>
  <r>
    <n v="12"/>
    <x v="38"/>
    <x v="1"/>
    <x v="1"/>
  </r>
  <r>
    <n v="12"/>
    <x v="192"/>
    <x v="1"/>
    <x v="1"/>
  </r>
  <r>
    <n v="12"/>
    <x v="142"/>
    <x v="1"/>
    <x v="1"/>
  </r>
  <r>
    <n v="12"/>
    <x v="242"/>
    <x v="1"/>
    <x v="1"/>
  </r>
  <r>
    <n v="12"/>
    <x v="12"/>
    <x v="1"/>
    <x v="1"/>
  </r>
  <r>
    <n v="12"/>
    <x v="287"/>
    <x v="1"/>
    <x v="1"/>
  </r>
  <r>
    <n v="12"/>
    <x v="117"/>
    <x v="1"/>
    <x v="1"/>
  </r>
  <r>
    <n v="12"/>
    <x v="169"/>
    <x v="1"/>
    <x v="1"/>
  </r>
  <r>
    <n v="12"/>
    <x v="218"/>
    <x v="1"/>
    <x v="1"/>
  </r>
  <r>
    <n v="12"/>
    <x v="93"/>
    <x v="1"/>
    <x v="1"/>
  </r>
  <r>
    <n v="12"/>
    <x v="66"/>
    <x v="1"/>
    <x v="1"/>
  </r>
  <r>
    <n v="12"/>
    <x v="143"/>
    <x v="1"/>
    <x v="1"/>
  </r>
  <r>
    <n v="12"/>
    <x v="193"/>
    <x v="1"/>
    <x v="1"/>
  </r>
  <r>
    <n v="12"/>
    <x v="264"/>
    <x v="1"/>
    <x v="1"/>
  </r>
  <r>
    <n v="12"/>
    <x v="39"/>
    <x v="1"/>
    <x v="1"/>
  </r>
  <r>
    <n v="12"/>
    <x v="243"/>
    <x v="1"/>
    <x v="1"/>
  </r>
  <r>
    <n v="12"/>
    <x v="13"/>
    <x v="1"/>
    <x v="1"/>
  </r>
  <r>
    <n v="12"/>
    <x v="288"/>
    <x v="1"/>
    <x v="1"/>
  </r>
  <r>
    <n v="12"/>
    <x v="219"/>
    <x v="1"/>
    <x v="1"/>
  </r>
  <r>
    <n v="12"/>
    <x v="94"/>
    <x v="1"/>
    <x v="1"/>
  </r>
  <r>
    <n v="12"/>
    <x v="170"/>
    <x v="1"/>
    <x v="1"/>
  </r>
  <r>
    <n v="12"/>
    <x v="118"/>
    <x v="1"/>
    <x v="1"/>
  </r>
  <r>
    <n v="12"/>
    <x v="194"/>
    <x v="1"/>
    <x v="1"/>
  </r>
  <r>
    <n v="12"/>
    <x v="67"/>
    <x v="1"/>
    <x v="1"/>
  </r>
  <r>
    <n v="12"/>
    <x v="144"/>
    <x v="1"/>
    <x v="1"/>
  </r>
  <r>
    <n v="12"/>
    <x v="40"/>
    <x v="1"/>
    <x v="1"/>
  </r>
  <r>
    <n v="12"/>
    <x v="265"/>
    <x v="1"/>
    <x v="1"/>
  </r>
  <r>
    <n v="12"/>
    <x v="244"/>
    <x v="1"/>
    <x v="1"/>
  </r>
  <r>
    <n v="12"/>
    <x v="289"/>
    <x v="1"/>
    <x v="1"/>
  </r>
  <r>
    <n v="12"/>
    <x v="14"/>
    <x v="1"/>
    <x v="1"/>
  </r>
  <r>
    <n v="12"/>
    <x v="95"/>
    <x v="1"/>
    <x v="1"/>
  </r>
  <r>
    <n v="12"/>
    <x v="220"/>
    <x v="1"/>
    <x v="1"/>
  </r>
  <r>
    <n v="12"/>
    <x v="171"/>
    <x v="1"/>
    <x v="1"/>
  </r>
  <r>
    <n v="12"/>
    <x v="119"/>
    <x v="1"/>
    <x v="1"/>
  </r>
  <r>
    <n v="12"/>
    <x v="68"/>
    <x v="1"/>
    <x v="1"/>
  </r>
  <r>
    <n v="12"/>
    <x v="195"/>
    <x v="1"/>
    <x v="1"/>
  </r>
  <r>
    <n v="12"/>
    <x v="145"/>
    <x v="1"/>
    <x v="1"/>
  </r>
  <r>
    <n v="12"/>
    <x v="41"/>
    <x v="1"/>
    <x v="1"/>
  </r>
  <r>
    <n v="12"/>
    <x v="266"/>
    <x v="1"/>
    <x v="1"/>
  </r>
  <r>
    <n v="12"/>
    <x v="245"/>
    <x v="1"/>
    <x v="1"/>
  </r>
  <r>
    <n v="12"/>
    <x v="172"/>
    <x v="1"/>
    <x v="1"/>
  </r>
  <r>
    <n v="12"/>
    <x v="290"/>
    <x v="1"/>
    <x v="1"/>
  </r>
  <r>
    <n v="12"/>
    <x v="120"/>
    <x v="1"/>
    <x v="1"/>
  </r>
  <r>
    <n v="12"/>
    <x v="96"/>
    <x v="1"/>
    <x v="1"/>
  </r>
  <r>
    <n v="12"/>
    <x v="221"/>
    <x v="1"/>
    <x v="1"/>
  </r>
  <r>
    <n v="12"/>
    <x v="69"/>
    <x v="1"/>
    <x v="1"/>
  </r>
  <r>
    <n v="12"/>
    <x v="146"/>
    <x v="1"/>
    <x v="1"/>
  </r>
  <r>
    <n v="12"/>
    <x v="42"/>
    <x v="1"/>
    <x v="1"/>
  </r>
  <r>
    <n v="12"/>
    <x v="196"/>
    <x v="1"/>
    <x v="1"/>
  </r>
  <r>
    <n v="12"/>
    <x v="15"/>
    <x v="1"/>
    <x v="1"/>
  </r>
  <r>
    <n v="12"/>
    <x v="267"/>
    <x v="1"/>
    <x v="1"/>
  </r>
  <r>
    <n v="12"/>
    <x v="246"/>
    <x v="1"/>
    <x v="1"/>
  </r>
  <r>
    <n v="12"/>
    <x v="291"/>
    <x v="1"/>
    <x v="1"/>
  </r>
  <r>
    <n v="12"/>
    <x v="222"/>
    <x v="1"/>
    <x v="1"/>
  </r>
  <r>
    <n v="12"/>
    <x v="121"/>
    <x v="1"/>
    <x v="1"/>
  </r>
  <r>
    <n v="12"/>
    <x v="173"/>
    <x v="1"/>
    <x v="1"/>
  </r>
  <r>
    <n v="12"/>
    <x v="70"/>
    <x v="1"/>
    <x v="1"/>
  </r>
  <r>
    <n v="12"/>
    <x v="97"/>
    <x v="1"/>
    <x v="1"/>
  </r>
  <r>
    <n v="12"/>
    <x v="147"/>
    <x v="1"/>
    <x v="1"/>
  </r>
  <r>
    <n v="12"/>
    <x v="43"/>
    <x v="1"/>
    <x v="1"/>
  </r>
  <r>
    <n v="12"/>
    <x v="197"/>
    <x v="1"/>
    <x v="1"/>
  </r>
  <r>
    <n v="12"/>
    <x v="16"/>
    <x v="1"/>
    <x v="1"/>
  </r>
  <r>
    <n v="12"/>
    <x v="268"/>
    <x v="1"/>
    <x v="1"/>
  </r>
  <r>
    <n v="12"/>
    <x v="247"/>
    <x v="1"/>
    <x v="1"/>
  </r>
  <r>
    <n v="12"/>
    <x v="174"/>
    <x v="1"/>
    <x v="1"/>
  </r>
  <r>
    <n v="12"/>
    <x v="122"/>
    <x v="1"/>
    <x v="1"/>
  </r>
  <r>
    <n v="12"/>
    <x v="71"/>
    <x v="1"/>
    <x v="1"/>
  </r>
  <r>
    <n v="12"/>
    <x v="292"/>
    <x v="1"/>
    <x v="1"/>
  </r>
  <r>
    <n v="12"/>
    <x v="223"/>
    <x v="1"/>
    <x v="1"/>
  </r>
  <r>
    <n v="12"/>
    <x v="148"/>
    <x v="1"/>
    <x v="1"/>
  </r>
  <r>
    <n v="12"/>
    <x v="44"/>
    <x v="1"/>
    <x v="1"/>
  </r>
  <r>
    <n v="12"/>
    <x v="98"/>
    <x v="1"/>
    <x v="1"/>
  </r>
  <r>
    <n v="12"/>
    <x v="198"/>
    <x v="1"/>
    <x v="1"/>
  </r>
  <r>
    <n v="12"/>
    <x v="17"/>
    <x v="1"/>
    <x v="1"/>
  </r>
  <r>
    <n v="12"/>
    <x v="269"/>
    <x v="1"/>
    <x v="1"/>
  </r>
  <r>
    <n v="12"/>
    <x v="248"/>
    <x v="1"/>
    <x v="1"/>
  </r>
  <r>
    <n v="12"/>
    <x v="123"/>
    <x v="1"/>
    <x v="1"/>
  </r>
  <r>
    <n v="12"/>
    <x v="175"/>
    <x v="1"/>
    <x v="1"/>
  </r>
  <r>
    <n v="12"/>
    <x v="72"/>
    <x v="1"/>
    <x v="1"/>
  </r>
  <r>
    <n v="12"/>
    <x v="224"/>
    <x v="1"/>
    <x v="1"/>
  </r>
  <r>
    <n v="12"/>
    <x v="99"/>
    <x v="1"/>
    <x v="1"/>
  </r>
  <r>
    <n v="12"/>
    <x v="149"/>
    <x v="1"/>
    <x v="1"/>
  </r>
  <r>
    <n v="12"/>
    <x v="45"/>
    <x v="1"/>
    <x v="1"/>
  </r>
  <r>
    <n v="12"/>
    <x v="293"/>
    <x v="1"/>
    <x v="1"/>
  </r>
  <r>
    <n v="12"/>
    <x v="199"/>
    <x v="1"/>
    <x v="1"/>
  </r>
  <r>
    <n v="12"/>
    <x v="18"/>
    <x v="1"/>
    <x v="1"/>
  </r>
  <r>
    <n v="12"/>
    <x v="249"/>
    <x v="1"/>
    <x v="1"/>
  </r>
  <r>
    <n v="12"/>
    <x v="225"/>
    <x v="1"/>
    <x v="1"/>
  </r>
  <r>
    <n v="12"/>
    <x v="124"/>
    <x v="1"/>
    <x v="1"/>
  </r>
  <r>
    <n v="12"/>
    <x v="176"/>
    <x v="1"/>
    <x v="1"/>
  </r>
  <r>
    <n v="12"/>
    <x v="73"/>
    <x v="1"/>
    <x v="1"/>
  </r>
  <r>
    <n v="12"/>
    <x v="270"/>
    <x v="1"/>
    <x v="1"/>
  </r>
  <r>
    <n v="12"/>
    <x v="100"/>
    <x v="1"/>
    <x v="1"/>
  </r>
  <r>
    <n v="12"/>
    <x v="150"/>
    <x v="1"/>
    <x v="1"/>
  </r>
  <r>
    <n v="12"/>
    <x v="46"/>
    <x v="1"/>
    <x v="1"/>
  </r>
  <r>
    <n v="12"/>
    <x v="294"/>
    <x v="1"/>
    <x v="1"/>
  </r>
  <r>
    <n v="12"/>
    <x v="19"/>
    <x v="1"/>
    <x v="1"/>
  </r>
  <r>
    <n v="12"/>
    <x v="250"/>
    <x v="1"/>
    <x v="1"/>
  </r>
  <r>
    <n v="12"/>
    <x v="226"/>
    <x v="1"/>
    <x v="1"/>
  </r>
  <r>
    <n v="12"/>
    <x v="177"/>
    <x v="1"/>
    <x v="1"/>
  </r>
  <r>
    <n v="12"/>
    <x v="125"/>
    <x v="1"/>
    <x v="1"/>
  </r>
  <r>
    <n v="12"/>
    <x v="74"/>
    <x v="1"/>
    <x v="1"/>
  </r>
  <r>
    <n v="12"/>
    <x v="200"/>
    <x v="1"/>
    <x v="1"/>
  </r>
  <r>
    <n v="12"/>
    <x v="101"/>
    <x v="1"/>
    <x v="1"/>
  </r>
  <r>
    <n v="12"/>
    <x v="151"/>
    <x v="1"/>
    <x v="1"/>
  </r>
  <r>
    <n v="12"/>
    <x v="47"/>
    <x v="1"/>
    <x v="1"/>
  </r>
  <r>
    <n v="12"/>
    <x v="271"/>
    <x v="1"/>
    <x v="1"/>
  </r>
  <r>
    <n v="12"/>
    <x v="295"/>
    <x v="1"/>
    <x v="1"/>
  </r>
  <r>
    <n v="12"/>
    <x v="20"/>
    <x v="1"/>
    <x v="1"/>
  </r>
  <r>
    <n v="12"/>
    <x v="251"/>
    <x v="1"/>
    <x v="1"/>
  </r>
  <r>
    <n v="12"/>
    <x v="126"/>
    <x v="1"/>
    <x v="1"/>
  </r>
  <r>
    <n v="12"/>
    <x v="227"/>
    <x v="1"/>
    <x v="1"/>
  </r>
  <r>
    <n v="12"/>
    <x v="178"/>
    <x v="1"/>
    <x v="1"/>
  </r>
  <r>
    <n v="12"/>
    <x v="75"/>
    <x v="1"/>
    <x v="1"/>
  </r>
  <r>
    <n v="12"/>
    <x v="102"/>
    <x v="1"/>
    <x v="1"/>
  </r>
  <r>
    <n v="12"/>
    <x v="201"/>
    <x v="1"/>
    <x v="1"/>
  </r>
  <r>
    <n v="12"/>
    <x v="48"/>
    <x v="1"/>
    <x v="1"/>
  </r>
  <r>
    <n v="12"/>
    <x v="272"/>
    <x v="1"/>
    <x v="1"/>
  </r>
  <r>
    <n v="12"/>
    <x v="152"/>
    <x v="1"/>
    <x v="1"/>
  </r>
  <r>
    <n v="12"/>
    <x v="296"/>
    <x v="1"/>
    <x v="1"/>
  </r>
  <r>
    <n v="12"/>
    <x v="252"/>
    <x v="1"/>
    <x v="1"/>
  </r>
  <r>
    <n v="12"/>
    <x v="127"/>
    <x v="1"/>
    <x v="1"/>
  </r>
  <r>
    <n v="12"/>
    <x v="21"/>
    <x v="1"/>
    <x v="1"/>
  </r>
  <r>
    <n v="12"/>
    <x v="228"/>
    <x v="1"/>
    <x v="1"/>
  </r>
  <r>
    <n v="12"/>
    <x v="179"/>
    <x v="1"/>
    <x v="1"/>
  </r>
  <r>
    <n v="12"/>
    <x v="103"/>
    <x v="1"/>
    <x v="1"/>
  </r>
  <r>
    <n v="12"/>
    <x v="49"/>
    <x v="1"/>
    <x v="1"/>
  </r>
  <r>
    <n v="12"/>
    <x v="202"/>
    <x v="1"/>
    <x v="1"/>
  </r>
  <r>
    <n v="12"/>
    <x v="76"/>
    <x v="1"/>
    <x v="1"/>
  </r>
  <r>
    <n v="12"/>
    <x v="153"/>
    <x v="1"/>
    <x v="1"/>
  </r>
  <r>
    <n v="12"/>
    <x v="273"/>
    <x v="1"/>
    <x v="1"/>
  </r>
  <r>
    <n v="12"/>
    <x v="297"/>
    <x v="1"/>
    <x v="1"/>
  </r>
  <r>
    <n v="12"/>
    <x v="22"/>
    <x v="1"/>
    <x v="1"/>
  </r>
  <r>
    <n v="12"/>
    <x v="229"/>
    <x v="1"/>
    <x v="1"/>
  </r>
  <r>
    <n v="12"/>
    <x v="253"/>
    <x v="1"/>
    <x v="1"/>
  </r>
  <r>
    <n v="12"/>
    <x v="128"/>
    <x v="1"/>
    <x v="1"/>
  </r>
  <r>
    <n v="12"/>
    <x v="180"/>
    <x v="1"/>
    <x v="1"/>
  </r>
  <r>
    <n v="12"/>
    <x v="77"/>
    <x v="1"/>
    <x v="1"/>
  </r>
  <r>
    <n v="12"/>
    <x v="203"/>
    <x v="1"/>
    <x v="1"/>
  </r>
  <r>
    <n v="12"/>
    <x v="104"/>
    <x v="1"/>
    <x v="1"/>
  </r>
  <r>
    <n v="12"/>
    <x v="50"/>
    <x v="1"/>
    <x v="1"/>
  </r>
  <r>
    <n v="12"/>
    <x v="154"/>
    <x v="1"/>
    <x v="1"/>
  </r>
  <r>
    <n v="12"/>
    <x v="274"/>
    <x v="1"/>
    <x v="1"/>
  </r>
  <r>
    <n v="12"/>
    <x v="298"/>
    <x v="1"/>
    <x v="1"/>
  </r>
  <r>
    <n v="12"/>
    <x v="23"/>
    <x v="1"/>
    <x v="1"/>
  </r>
  <r>
    <n v="12"/>
    <x v="129"/>
    <x v="1"/>
    <x v="1"/>
  </r>
  <r>
    <n v="12"/>
    <x v="230"/>
    <x v="1"/>
    <x v="1"/>
  </r>
  <r>
    <n v="12"/>
    <x v="181"/>
    <x v="1"/>
    <x v="1"/>
  </r>
  <r>
    <n v="12"/>
    <x v="78"/>
    <x v="1"/>
    <x v="1"/>
  </r>
  <r>
    <n v="12"/>
    <x v="53"/>
    <x v="1"/>
    <x v="1"/>
  </r>
  <r>
    <n v="12"/>
    <x v="105"/>
    <x v="1"/>
    <x v="1"/>
  </r>
  <r>
    <n v="12"/>
    <x v="51"/>
    <x v="1"/>
    <x v="1"/>
  </r>
  <r>
    <n v="12"/>
    <x v="204"/>
    <x v="1"/>
    <x v="1"/>
  </r>
  <r>
    <n v="12"/>
    <x v="155"/>
    <x v="2"/>
    <x v="1"/>
  </r>
  <r>
    <n v="12"/>
    <x v="0"/>
    <x v="2"/>
    <x v="1"/>
  </r>
  <r>
    <n v="12"/>
    <x v="53"/>
    <x v="2"/>
    <x v="1"/>
  </r>
  <r>
    <n v="12"/>
    <x v="24"/>
    <x v="2"/>
    <x v="1"/>
  </r>
  <r>
    <n v="12"/>
    <x v="107"/>
    <x v="2"/>
    <x v="1"/>
  </r>
  <r>
    <n v="12"/>
    <x v="80"/>
    <x v="2"/>
    <x v="1"/>
  </r>
  <r>
    <n v="12"/>
    <x v="182"/>
    <x v="2"/>
    <x v="1"/>
  </r>
  <r>
    <n v="12"/>
    <x v="79"/>
    <x v="2"/>
    <x v="1"/>
  </r>
  <r>
    <n v="12"/>
    <x v="157"/>
    <x v="2"/>
    <x v="1"/>
  </r>
  <r>
    <n v="12"/>
    <x v="26"/>
    <x v="2"/>
    <x v="1"/>
  </r>
  <r>
    <n v="12"/>
    <x v="130"/>
    <x v="2"/>
    <x v="1"/>
  </r>
  <r>
    <n v="12"/>
    <x v="52"/>
    <x v="2"/>
    <x v="1"/>
  </r>
  <r>
    <n v="12"/>
    <x v="205"/>
    <x v="2"/>
    <x v="1"/>
  </r>
  <r>
    <n v="12"/>
    <x v="1"/>
    <x v="2"/>
    <x v="1"/>
  </r>
  <r>
    <n v="12"/>
    <x v="275"/>
    <x v="2"/>
    <x v="1"/>
  </r>
  <r>
    <n v="12"/>
    <x v="25"/>
    <x v="2"/>
    <x v="1"/>
  </r>
  <r>
    <n v="12"/>
    <x v="183"/>
    <x v="2"/>
    <x v="1"/>
  </r>
  <r>
    <n v="12"/>
    <x v="81"/>
    <x v="2"/>
    <x v="1"/>
  </r>
  <r>
    <n v="12"/>
    <x v="54"/>
    <x v="2"/>
    <x v="1"/>
  </r>
  <r>
    <n v="12"/>
    <x v="131"/>
    <x v="2"/>
    <x v="1"/>
  </r>
  <r>
    <n v="12"/>
    <x v="106"/>
    <x v="2"/>
    <x v="1"/>
  </r>
  <r>
    <n v="12"/>
    <x v="27"/>
    <x v="2"/>
    <x v="1"/>
  </r>
  <r>
    <n v="12"/>
    <x v="156"/>
    <x v="2"/>
    <x v="1"/>
  </r>
  <r>
    <n v="12"/>
    <x v="206"/>
    <x v="2"/>
    <x v="1"/>
  </r>
  <r>
    <n v="12"/>
    <x v="9"/>
    <x v="2"/>
    <x v="1"/>
  </r>
  <r>
    <n v="12"/>
    <x v="276"/>
    <x v="2"/>
    <x v="1"/>
  </r>
  <r>
    <n v="12"/>
    <x v="158"/>
    <x v="2"/>
    <x v="1"/>
  </r>
  <r>
    <n v="12"/>
    <x v="2"/>
    <x v="2"/>
    <x v="1"/>
  </r>
  <r>
    <n v="12"/>
    <x v="132"/>
    <x v="2"/>
    <x v="1"/>
  </r>
  <r>
    <n v="12"/>
    <x v="231"/>
    <x v="2"/>
    <x v="1"/>
  </r>
  <r>
    <n v="12"/>
    <x v="82"/>
    <x v="2"/>
    <x v="1"/>
  </r>
  <r>
    <n v="12"/>
    <x v="254"/>
    <x v="2"/>
    <x v="1"/>
  </r>
  <r>
    <n v="12"/>
    <x v="55"/>
    <x v="2"/>
    <x v="1"/>
  </r>
  <r>
    <n v="12"/>
    <x v="28"/>
    <x v="2"/>
    <x v="1"/>
  </r>
  <r>
    <n v="12"/>
    <x v="108"/>
    <x v="2"/>
    <x v="1"/>
  </r>
  <r>
    <n v="12"/>
    <x v="207"/>
    <x v="2"/>
    <x v="1"/>
  </r>
  <r>
    <n v="12"/>
    <x v="232"/>
    <x v="2"/>
    <x v="1"/>
  </r>
  <r>
    <n v="12"/>
    <x v="277"/>
    <x v="2"/>
    <x v="1"/>
  </r>
  <r>
    <n v="12"/>
    <x v="56"/>
    <x v="2"/>
    <x v="1"/>
  </r>
  <r>
    <n v="12"/>
    <x v="3"/>
    <x v="2"/>
    <x v="1"/>
  </r>
  <r>
    <n v="12"/>
    <x v="159"/>
    <x v="2"/>
    <x v="1"/>
  </r>
  <r>
    <n v="12"/>
    <x v="133"/>
    <x v="2"/>
    <x v="1"/>
  </r>
  <r>
    <n v="12"/>
    <x v="29"/>
    <x v="2"/>
    <x v="1"/>
  </r>
  <r>
    <n v="12"/>
    <x v="70"/>
    <x v="2"/>
    <x v="1"/>
  </r>
  <r>
    <n v="12"/>
    <x v="83"/>
    <x v="2"/>
    <x v="1"/>
  </r>
  <r>
    <n v="12"/>
    <x v="255"/>
    <x v="2"/>
    <x v="1"/>
  </r>
  <r>
    <n v="12"/>
    <x v="208"/>
    <x v="2"/>
    <x v="1"/>
  </r>
  <r>
    <n v="12"/>
    <x v="109"/>
    <x v="2"/>
    <x v="1"/>
  </r>
  <r>
    <n v="12"/>
    <x v="233"/>
    <x v="2"/>
    <x v="1"/>
  </r>
  <r>
    <n v="12"/>
    <x v="57"/>
    <x v="2"/>
    <x v="1"/>
  </r>
  <r>
    <n v="12"/>
    <x v="160"/>
    <x v="2"/>
    <x v="1"/>
  </r>
  <r>
    <n v="12"/>
    <x v="278"/>
    <x v="2"/>
    <x v="1"/>
  </r>
  <r>
    <n v="12"/>
    <x v="184"/>
    <x v="2"/>
    <x v="1"/>
  </r>
  <r>
    <n v="12"/>
    <x v="84"/>
    <x v="2"/>
    <x v="1"/>
  </r>
  <r>
    <n v="12"/>
    <x v="134"/>
    <x v="2"/>
    <x v="1"/>
  </r>
  <r>
    <n v="12"/>
    <x v="30"/>
    <x v="2"/>
    <x v="1"/>
  </r>
  <r>
    <n v="12"/>
    <x v="209"/>
    <x v="2"/>
    <x v="1"/>
  </r>
  <r>
    <n v="12"/>
    <x v="4"/>
    <x v="2"/>
    <x v="1"/>
  </r>
  <r>
    <n v="12"/>
    <x v="256"/>
    <x v="2"/>
    <x v="1"/>
  </r>
  <r>
    <n v="12"/>
    <x v="234"/>
    <x v="2"/>
    <x v="1"/>
  </r>
  <r>
    <n v="12"/>
    <x v="58"/>
    <x v="2"/>
    <x v="1"/>
  </r>
  <r>
    <n v="12"/>
    <x v="161"/>
    <x v="2"/>
    <x v="1"/>
  </r>
  <r>
    <n v="12"/>
    <x v="279"/>
    <x v="2"/>
    <x v="1"/>
  </r>
  <r>
    <n v="12"/>
    <x v="110"/>
    <x v="2"/>
    <x v="1"/>
  </r>
  <r>
    <n v="12"/>
    <x v="185"/>
    <x v="2"/>
    <x v="1"/>
  </r>
  <r>
    <n v="12"/>
    <x v="31"/>
    <x v="2"/>
    <x v="1"/>
  </r>
  <r>
    <n v="12"/>
    <x v="135"/>
    <x v="2"/>
    <x v="1"/>
  </r>
  <r>
    <n v="12"/>
    <x v="85"/>
    <x v="2"/>
    <x v="1"/>
  </r>
  <r>
    <n v="12"/>
    <x v="210"/>
    <x v="2"/>
    <x v="1"/>
  </r>
  <r>
    <n v="12"/>
    <x v="257"/>
    <x v="2"/>
    <x v="1"/>
  </r>
  <r>
    <n v="12"/>
    <x v="5"/>
    <x v="2"/>
    <x v="1"/>
  </r>
  <r>
    <n v="12"/>
    <x v="235"/>
    <x v="2"/>
    <x v="1"/>
  </r>
  <r>
    <n v="12"/>
    <x v="280"/>
    <x v="2"/>
    <x v="1"/>
  </r>
  <r>
    <n v="12"/>
    <x v="22"/>
    <x v="2"/>
    <x v="1"/>
  </r>
  <r>
    <n v="12"/>
    <x v="59"/>
    <x v="2"/>
    <x v="1"/>
  </r>
  <r>
    <n v="12"/>
    <x v="162"/>
    <x v="2"/>
    <x v="1"/>
  </r>
  <r>
    <n v="12"/>
    <x v="32"/>
    <x v="2"/>
    <x v="1"/>
  </r>
  <r>
    <n v="12"/>
    <x v="186"/>
    <x v="2"/>
    <x v="1"/>
  </r>
  <r>
    <n v="12"/>
    <x v="136"/>
    <x v="2"/>
    <x v="1"/>
  </r>
  <r>
    <n v="12"/>
    <x v="211"/>
    <x v="2"/>
    <x v="1"/>
  </r>
  <r>
    <n v="12"/>
    <x v="86"/>
    <x v="2"/>
    <x v="1"/>
  </r>
  <r>
    <n v="12"/>
    <x v="258"/>
    <x v="2"/>
    <x v="1"/>
  </r>
  <r>
    <n v="12"/>
    <x v="236"/>
    <x v="2"/>
    <x v="1"/>
  </r>
  <r>
    <n v="12"/>
    <x v="6"/>
    <x v="2"/>
    <x v="1"/>
  </r>
  <r>
    <n v="12"/>
    <x v="281"/>
    <x v="2"/>
    <x v="1"/>
  </r>
  <r>
    <n v="12"/>
    <x v="163"/>
    <x v="2"/>
    <x v="1"/>
  </r>
  <r>
    <n v="12"/>
    <x v="111"/>
    <x v="2"/>
    <x v="1"/>
  </r>
  <r>
    <n v="12"/>
    <x v="33"/>
    <x v="2"/>
    <x v="1"/>
  </r>
  <r>
    <n v="12"/>
    <x v="137"/>
    <x v="2"/>
    <x v="1"/>
  </r>
  <r>
    <n v="12"/>
    <x v="60"/>
    <x v="2"/>
    <x v="1"/>
  </r>
  <r>
    <n v="12"/>
    <x v="212"/>
    <x v="2"/>
    <x v="1"/>
  </r>
  <r>
    <n v="12"/>
    <x v="87"/>
    <x v="2"/>
    <x v="1"/>
  </r>
  <r>
    <n v="12"/>
    <x v="187"/>
    <x v="2"/>
    <x v="1"/>
  </r>
  <r>
    <n v="12"/>
    <x v="7"/>
    <x v="2"/>
    <x v="1"/>
  </r>
  <r>
    <n v="12"/>
    <x v="237"/>
    <x v="2"/>
    <x v="1"/>
  </r>
  <r>
    <n v="12"/>
    <x v="259"/>
    <x v="2"/>
    <x v="1"/>
  </r>
  <r>
    <n v="12"/>
    <x v="282"/>
    <x v="2"/>
    <x v="1"/>
  </r>
  <r>
    <n v="12"/>
    <x v="164"/>
    <x v="2"/>
    <x v="1"/>
  </r>
  <r>
    <n v="12"/>
    <x v="112"/>
    <x v="2"/>
    <x v="1"/>
  </r>
  <r>
    <n v="12"/>
    <x v="61"/>
    <x v="2"/>
    <x v="1"/>
  </r>
  <r>
    <n v="12"/>
    <x v="213"/>
    <x v="2"/>
    <x v="1"/>
  </r>
  <r>
    <n v="12"/>
    <x v="34"/>
    <x v="2"/>
    <x v="1"/>
  </r>
  <r>
    <n v="12"/>
    <x v="138"/>
    <x v="2"/>
    <x v="1"/>
  </r>
  <r>
    <n v="12"/>
    <x v="88"/>
    <x v="2"/>
    <x v="1"/>
  </r>
  <r>
    <n v="12"/>
    <x v="188"/>
    <x v="2"/>
    <x v="1"/>
  </r>
  <r>
    <n v="12"/>
    <x v="8"/>
    <x v="2"/>
    <x v="1"/>
  </r>
  <r>
    <n v="12"/>
    <x v="283"/>
    <x v="2"/>
    <x v="1"/>
  </r>
  <r>
    <n v="12"/>
    <x v="238"/>
    <x v="2"/>
    <x v="1"/>
  </r>
  <r>
    <n v="12"/>
    <x v="260"/>
    <x v="2"/>
    <x v="1"/>
  </r>
  <r>
    <n v="12"/>
    <x v="62"/>
    <x v="2"/>
    <x v="1"/>
  </r>
  <r>
    <n v="12"/>
    <x v="214"/>
    <x v="2"/>
    <x v="1"/>
  </r>
  <r>
    <n v="12"/>
    <x v="165"/>
    <x v="2"/>
    <x v="1"/>
  </r>
  <r>
    <n v="12"/>
    <x v="113"/>
    <x v="2"/>
    <x v="1"/>
  </r>
  <r>
    <n v="12"/>
    <x v="189"/>
    <x v="2"/>
    <x v="1"/>
  </r>
  <r>
    <n v="12"/>
    <x v="35"/>
    <x v="2"/>
    <x v="1"/>
  </r>
  <r>
    <n v="12"/>
    <x v="139"/>
    <x v="2"/>
    <x v="1"/>
  </r>
  <r>
    <n v="12"/>
    <x v="89"/>
    <x v="2"/>
    <x v="1"/>
  </r>
  <r>
    <n v="12"/>
    <x v="9"/>
    <x v="2"/>
    <x v="1"/>
  </r>
  <r>
    <n v="12"/>
    <x v="239"/>
    <x v="2"/>
    <x v="1"/>
  </r>
  <r>
    <n v="12"/>
    <x v="284"/>
    <x v="2"/>
    <x v="1"/>
  </r>
  <r>
    <n v="12"/>
    <x v="215"/>
    <x v="2"/>
    <x v="1"/>
  </r>
  <r>
    <n v="12"/>
    <x v="261"/>
    <x v="2"/>
    <x v="1"/>
  </r>
  <r>
    <n v="12"/>
    <x v="63"/>
    <x v="2"/>
    <x v="1"/>
  </r>
  <r>
    <n v="12"/>
    <x v="166"/>
    <x v="2"/>
    <x v="1"/>
  </r>
  <r>
    <n v="12"/>
    <x v="114"/>
    <x v="2"/>
    <x v="1"/>
  </r>
  <r>
    <n v="12"/>
    <x v="140"/>
    <x v="2"/>
    <x v="1"/>
  </r>
  <r>
    <n v="12"/>
    <x v="190"/>
    <x v="2"/>
    <x v="1"/>
  </r>
  <r>
    <n v="12"/>
    <x v="90"/>
    <x v="2"/>
    <x v="1"/>
  </r>
  <r>
    <n v="12"/>
    <x v="36"/>
    <x v="2"/>
    <x v="1"/>
  </r>
  <r>
    <n v="12"/>
    <x v="240"/>
    <x v="2"/>
    <x v="1"/>
  </r>
  <r>
    <n v="12"/>
    <x v="10"/>
    <x v="2"/>
    <x v="1"/>
  </r>
  <r>
    <n v="12"/>
    <x v="285"/>
    <x v="2"/>
    <x v="1"/>
  </r>
  <r>
    <n v="12"/>
    <x v="216"/>
    <x v="2"/>
    <x v="1"/>
  </r>
  <r>
    <n v="12"/>
    <x v="167"/>
    <x v="2"/>
    <x v="1"/>
  </r>
  <r>
    <n v="12"/>
    <x v="115"/>
    <x v="2"/>
    <x v="1"/>
  </r>
  <r>
    <n v="12"/>
    <x v="262"/>
    <x v="2"/>
    <x v="1"/>
  </r>
  <r>
    <n v="12"/>
    <x v="91"/>
    <x v="2"/>
    <x v="1"/>
  </r>
  <r>
    <n v="12"/>
    <x v="64"/>
    <x v="2"/>
    <x v="1"/>
  </r>
  <r>
    <n v="12"/>
    <x v="191"/>
    <x v="2"/>
    <x v="1"/>
  </r>
  <r>
    <n v="12"/>
    <x v="37"/>
    <x v="2"/>
    <x v="1"/>
  </r>
  <r>
    <n v="12"/>
    <x v="141"/>
    <x v="2"/>
    <x v="1"/>
  </r>
  <r>
    <n v="12"/>
    <x v="241"/>
    <x v="2"/>
    <x v="1"/>
  </r>
  <r>
    <n v="12"/>
    <x v="11"/>
    <x v="2"/>
    <x v="1"/>
  </r>
  <r>
    <n v="12"/>
    <x v="168"/>
    <x v="2"/>
    <x v="1"/>
  </r>
  <r>
    <n v="12"/>
    <x v="286"/>
    <x v="2"/>
    <x v="1"/>
  </r>
  <r>
    <n v="12"/>
    <x v="217"/>
    <x v="2"/>
    <x v="1"/>
  </r>
  <r>
    <n v="12"/>
    <x v="116"/>
    <x v="2"/>
    <x v="1"/>
  </r>
  <r>
    <n v="12"/>
    <x v="92"/>
    <x v="2"/>
    <x v="1"/>
  </r>
  <r>
    <n v="12"/>
    <x v="65"/>
    <x v="2"/>
    <x v="1"/>
  </r>
  <r>
    <n v="12"/>
    <x v="263"/>
    <x v="2"/>
    <x v="1"/>
  </r>
  <r>
    <n v="12"/>
    <x v="38"/>
    <x v="2"/>
    <x v="1"/>
  </r>
  <r>
    <n v="12"/>
    <x v="192"/>
    <x v="2"/>
    <x v="1"/>
  </r>
  <r>
    <n v="12"/>
    <x v="142"/>
    <x v="2"/>
    <x v="1"/>
  </r>
  <r>
    <n v="12"/>
    <x v="242"/>
    <x v="2"/>
    <x v="1"/>
  </r>
  <r>
    <n v="12"/>
    <x v="12"/>
    <x v="2"/>
    <x v="1"/>
  </r>
  <r>
    <n v="12"/>
    <x v="287"/>
    <x v="2"/>
    <x v="1"/>
  </r>
  <r>
    <n v="12"/>
    <x v="117"/>
    <x v="2"/>
    <x v="1"/>
  </r>
  <r>
    <n v="12"/>
    <x v="169"/>
    <x v="2"/>
    <x v="1"/>
  </r>
  <r>
    <n v="12"/>
    <x v="218"/>
    <x v="2"/>
    <x v="1"/>
  </r>
  <r>
    <n v="12"/>
    <x v="93"/>
    <x v="2"/>
    <x v="1"/>
  </r>
  <r>
    <n v="12"/>
    <x v="66"/>
    <x v="2"/>
    <x v="1"/>
  </r>
  <r>
    <n v="12"/>
    <x v="143"/>
    <x v="2"/>
    <x v="1"/>
  </r>
  <r>
    <n v="12"/>
    <x v="193"/>
    <x v="2"/>
    <x v="1"/>
  </r>
  <r>
    <n v="12"/>
    <x v="264"/>
    <x v="2"/>
    <x v="1"/>
  </r>
  <r>
    <n v="12"/>
    <x v="39"/>
    <x v="2"/>
    <x v="1"/>
  </r>
  <r>
    <n v="12"/>
    <x v="243"/>
    <x v="2"/>
    <x v="1"/>
  </r>
  <r>
    <n v="12"/>
    <x v="13"/>
    <x v="2"/>
    <x v="1"/>
  </r>
  <r>
    <n v="12"/>
    <x v="288"/>
    <x v="2"/>
    <x v="1"/>
  </r>
  <r>
    <n v="12"/>
    <x v="219"/>
    <x v="2"/>
    <x v="1"/>
  </r>
  <r>
    <n v="12"/>
    <x v="94"/>
    <x v="2"/>
    <x v="1"/>
  </r>
  <r>
    <n v="12"/>
    <x v="170"/>
    <x v="2"/>
    <x v="1"/>
  </r>
  <r>
    <n v="12"/>
    <x v="118"/>
    <x v="2"/>
    <x v="1"/>
  </r>
  <r>
    <n v="12"/>
    <x v="194"/>
    <x v="2"/>
    <x v="1"/>
  </r>
  <r>
    <n v="12"/>
    <x v="67"/>
    <x v="2"/>
    <x v="1"/>
  </r>
  <r>
    <n v="12"/>
    <x v="144"/>
    <x v="2"/>
    <x v="1"/>
  </r>
  <r>
    <n v="12"/>
    <x v="40"/>
    <x v="2"/>
    <x v="1"/>
  </r>
  <r>
    <n v="12"/>
    <x v="265"/>
    <x v="2"/>
    <x v="1"/>
  </r>
  <r>
    <n v="12"/>
    <x v="244"/>
    <x v="2"/>
    <x v="1"/>
  </r>
  <r>
    <n v="12"/>
    <x v="289"/>
    <x v="2"/>
    <x v="1"/>
  </r>
  <r>
    <n v="12"/>
    <x v="14"/>
    <x v="2"/>
    <x v="1"/>
  </r>
  <r>
    <n v="12"/>
    <x v="95"/>
    <x v="2"/>
    <x v="1"/>
  </r>
  <r>
    <n v="12"/>
    <x v="220"/>
    <x v="2"/>
    <x v="1"/>
  </r>
  <r>
    <n v="12"/>
    <x v="171"/>
    <x v="2"/>
    <x v="1"/>
  </r>
  <r>
    <n v="12"/>
    <x v="119"/>
    <x v="2"/>
    <x v="1"/>
  </r>
  <r>
    <n v="12"/>
    <x v="68"/>
    <x v="2"/>
    <x v="1"/>
  </r>
  <r>
    <n v="12"/>
    <x v="195"/>
    <x v="2"/>
    <x v="1"/>
  </r>
  <r>
    <n v="12"/>
    <x v="145"/>
    <x v="2"/>
    <x v="1"/>
  </r>
  <r>
    <n v="12"/>
    <x v="41"/>
    <x v="2"/>
    <x v="1"/>
  </r>
  <r>
    <n v="12"/>
    <x v="266"/>
    <x v="2"/>
    <x v="1"/>
  </r>
  <r>
    <n v="12"/>
    <x v="245"/>
    <x v="2"/>
    <x v="1"/>
  </r>
  <r>
    <n v="12"/>
    <x v="172"/>
    <x v="2"/>
    <x v="1"/>
  </r>
  <r>
    <n v="12"/>
    <x v="290"/>
    <x v="2"/>
    <x v="1"/>
  </r>
  <r>
    <n v="12"/>
    <x v="120"/>
    <x v="2"/>
    <x v="1"/>
  </r>
  <r>
    <n v="12"/>
    <x v="96"/>
    <x v="2"/>
    <x v="1"/>
  </r>
  <r>
    <n v="12"/>
    <x v="221"/>
    <x v="2"/>
    <x v="1"/>
  </r>
  <r>
    <n v="12"/>
    <x v="69"/>
    <x v="2"/>
    <x v="1"/>
  </r>
  <r>
    <n v="12"/>
    <x v="146"/>
    <x v="2"/>
    <x v="1"/>
  </r>
  <r>
    <n v="12"/>
    <x v="42"/>
    <x v="2"/>
    <x v="1"/>
  </r>
  <r>
    <n v="12"/>
    <x v="196"/>
    <x v="2"/>
    <x v="1"/>
  </r>
  <r>
    <n v="12"/>
    <x v="15"/>
    <x v="2"/>
    <x v="1"/>
  </r>
  <r>
    <n v="12"/>
    <x v="267"/>
    <x v="2"/>
    <x v="1"/>
  </r>
  <r>
    <n v="12"/>
    <x v="246"/>
    <x v="2"/>
    <x v="1"/>
  </r>
  <r>
    <n v="12"/>
    <x v="291"/>
    <x v="2"/>
    <x v="1"/>
  </r>
  <r>
    <n v="12"/>
    <x v="222"/>
    <x v="2"/>
    <x v="1"/>
  </r>
  <r>
    <n v="12"/>
    <x v="121"/>
    <x v="2"/>
    <x v="1"/>
  </r>
  <r>
    <n v="12"/>
    <x v="173"/>
    <x v="2"/>
    <x v="1"/>
  </r>
  <r>
    <n v="12"/>
    <x v="70"/>
    <x v="2"/>
    <x v="1"/>
  </r>
  <r>
    <n v="12"/>
    <x v="97"/>
    <x v="2"/>
    <x v="1"/>
  </r>
  <r>
    <n v="12"/>
    <x v="147"/>
    <x v="2"/>
    <x v="1"/>
  </r>
  <r>
    <n v="12"/>
    <x v="43"/>
    <x v="2"/>
    <x v="1"/>
  </r>
  <r>
    <n v="12"/>
    <x v="197"/>
    <x v="2"/>
    <x v="1"/>
  </r>
  <r>
    <n v="12"/>
    <x v="16"/>
    <x v="2"/>
    <x v="1"/>
  </r>
  <r>
    <n v="12"/>
    <x v="268"/>
    <x v="2"/>
    <x v="1"/>
  </r>
  <r>
    <n v="12"/>
    <x v="247"/>
    <x v="2"/>
    <x v="1"/>
  </r>
  <r>
    <n v="12"/>
    <x v="174"/>
    <x v="2"/>
    <x v="1"/>
  </r>
  <r>
    <n v="12"/>
    <x v="122"/>
    <x v="2"/>
    <x v="1"/>
  </r>
  <r>
    <n v="12"/>
    <x v="71"/>
    <x v="2"/>
    <x v="1"/>
  </r>
  <r>
    <n v="12"/>
    <x v="292"/>
    <x v="2"/>
    <x v="1"/>
  </r>
  <r>
    <n v="12"/>
    <x v="223"/>
    <x v="2"/>
    <x v="1"/>
  </r>
  <r>
    <n v="12"/>
    <x v="148"/>
    <x v="2"/>
    <x v="1"/>
  </r>
  <r>
    <n v="12"/>
    <x v="44"/>
    <x v="2"/>
    <x v="1"/>
  </r>
  <r>
    <n v="12"/>
    <x v="98"/>
    <x v="2"/>
    <x v="1"/>
  </r>
  <r>
    <n v="12"/>
    <x v="198"/>
    <x v="2"/>
    <x v="1"/>
  </r>
  <r>
    <n v="12"/>
    <x v="17"/>
    <x v="2"/>
    <x v="1"/>
  </r>
  <r>
    <n v="12"/>
    <x v="269"/>
    <x v="2"/>
    <x v="1"/>
  </r>
  <r>
    <n v="12"/>
    <x v="248"/>
    <x v="2"/>
    <x v="1"/>
  </r>
  <r>
    <n v="12"/>
    <x v="123"/>
    <x v="2"/>
    <x v="1"/>
  </r>
  <r>
    <n v="12"/>
    <x v="175"/>
    <x v="2"/>
    <x v="1"/>
  </r>
  <r>
    <n v="12"/>
    <x v="72"/>
    <x v="2"/>
    <x v="1"/>
  </r>
  <r>
    <n v="12"/>
    <x v="224"/>
    <x v="2"/>
    <x v="1"/>
  </r>
  <r>
    <n v="12"/>
    <x v="99"/>
    <x v="2"/>
    <x v="1"/>
  </r>
  <r>
    <n v="12"/>
    <x v="149"/>
    <x v="2"/>
    <x v="1"/>
  </r>
  <r>
    <n v="12"/>
    <x v="45"/>
    <x v="2"/>
    <x v="1"/>
  </r>
  <r>
    <n v="12"/>
    <x v="293"/>
    <x v="2"/>
    <x v="1"/>
  </r>
  <r>
    <n v="12"/>
    <x v="199"/>
    <x v="2"/>
    <x v="1"/>
  </r>
  <r>
    <n v="12"/>
    <x v="18"/>
    <x v="2"/>
    <x v="1"/>
  </r>
  <r>
    <n v="12"/>
    <x v="249"/>
    <x v="2"/>
    <x v="1"/>
  </r>
  <r>
    <n v="12"/>
    <x v="225"/>
    <x v="2"/>
    <x v="1"/>
  </r>
  <r>
    <n v="12"/>
    <x v="124"/>
    <x v="2"/>
    <x v="1"/>
  </r>
  <r>
    <n v="12"/>
    <x v="176"/>
    <x v="2"/>
    <x v="1"/>
  </r>
  <r>
    <n v="12"/>
    <x v="73"/>
    <x v="2"/>
    <x v="1"/>
  </r>
  <r>
    <n v="12"/>
    <x v="270"/>
    <x v="2"/>
    <x v="1"/>
  </r>
  <r>
    <n v="12"/>
    <x v="100"/>
    <x v="2"/>
    <x v="1"/>
  </r>
  <r>
    <n v="12"/>
    <x v="150"/>
    <x v="2"/>
    <x v="1"/>
  </r>
  <r>
    <n v="12"/>
    <x v="46"/>
    <x v="2"/>
    <x v="1"/>
  </r>
  <r>
    <n v="12"/>
    <x v="294"/>
    <x v="2"/>
    <x v="1"/>
  </r>
  <r>
    <n v="12"/>
    <x v="19"/>
    <x v="2"/>
    <x v="1"/>
  </r>
  <r>
    <n v="12"/>
    <x v="250"/>
    <x v="2"/>
    <x v="1"/>
  </r>
  <r>
    <n v="12"/>
    <x v="226"/>
    <x v="2"/>
    <x v="1"/>
  </r>
  <r>
    <n v="12"/>
    <x v="177"/>
    <x v="2"/>
    <x v="1"/>
  </r>
  <r>
    <n v="12"/>
    <x v="125"/>
    <x v="2"/>
    <x v="1"/>
  </r>
  <r>
    <n v="12"/>
    <x v="74"/>
    <x v="2"/>
    <x v="1"/>
  </r>
  <r>
    <n v="12"/>
    <x v="200"/>
    <x v="2"/>
    <x v="1"/>
  </r>
  <r>
    <n v="12"/>
    <x v="101"/>
    <x v="2"/>
    <x v="1"/>
  </r>
  <r>
    <n v="12"/>
    <x v="151"/>
    <x v="2"/>
    <x v="1"/>
  </r>
  <r>
    <n v="12"/>
    <x v="47"/>
    <x v="2"/>
    <x v="1"/>
  </r>
  <r>
    <n v="12"/>
    <x v="271"/>
    <x v="2"/>
    <x v="1"/>
  </r>
  <r>
    <n v="12"/>
    <x v="295"/>
    <x v="2"/>
    <x v="1"/>
  </r>
  <r>
    <n v="12"/>
    <x v="20"/>
    <x v="2"/>
    <x v="1"/>
  </r>
  <r>
    <n v="12"/>
    <x v="251"/>
    <x v="2"/>
    <x v="1"/>
  </r>
  <r>
    <n v="12"/>
    <x v="126"/>
    <x v="2"/>
    <x v="1"/>
  </r>
  <r>
    <n v="12"/>
    <x v="227"/>
    <x v="2"/>
    <x v="1"/>
  </r>
  <r>
    <n v="12"/>
    <x v="178"/>
    <x v="2"/>
    <x v="1"/>
  </r>
  <r>
    <n v="12"/>
    <x v="75"/>
    <x v="2"/>
    <x v="1"/>
  </r>
  <r>
    <n v="12"/>
    <x v="102"/>
    <x v="2"/>
    <x v="1"/>
  </r>
  <r>
    <n v="12"/>
    <x v="201"/>
    <x v="2"/>
    <x v="1"/>
  </r>
  <r>
    <n v="12"/>
    <x v="48"/>
    <x v="2"/>
    <x v="1"/>
  </r>
  <r>
    <n v="12"/>
    <x v="272"/>
    <x v="2"/>
    <x v="1"/>
  </r>
  <r>
    <n v="12"/>
    <x v="152"/>
    <x v="2"/>
    <x v="1"/>
  </r>
  <r>
    <n v="12"/>
    <x v="296"/>
    <x v="2"/>
    <x v="1"/>
  </r>
  <r>
    <n v="12"/>
    <x v="252"/>
    <x v="2"/>
    <x v="1"/>
  </r>
  <r>
    <n v="12"/>
    <x v="127"/>
    <x v="2"/>
    <x v="1"/>
  </r>
  <r>
    <n v="12"/>
    <x v="21"/>
    <x v="2"/>
    <x v="1"/>
  </r>
  <r>
    <n v="12"/>
    <x v="228"/>
    <x v="2"/>
    <x v="1"/>
  </r>
  <r>
    <n v="12"/>
    <x v="179"/>
    <x v="2"/>
    <x v="1"/>
  </r>
  <r>
    <n v="12"/>
    <x v="103"/>
    <x v="2"/>
    <x v="1"/>
  </r>
  <r>
    <n v="12"/>
    <x v="49"/>
    <x v="2"/>
    <x v="1"/>
  </r>
  <r>
    <n v="12"/>
    <x v="202"/>
    <x v="2"/>
    <x v="1"/>
  </r>
  <r>
    <n v="12"/>
    <x v="76"/>
    <x v="2"/>
    <x v="1"/>
  </r>
  <r>
    <n v="12"/>
    <x v="153"/>
    <x v="2"/>
    <x v="1"/>
  </r>
  <r>
    <n v="12"/>
    <x v="273"/>
    <x v="2"/>
    <x v="1"/>
  </r>
  <r>
    <n v="12"/>
    <x v="297"/>
    <x v="2"/>
    <x v="1"/>
  </r>
  <r>
    <n v="12"/>
    <x v="22"/>
    <x v="2"/>
    <x v="1"/>
  </r>
  <r>
    <n v="12"/>
    <x v="229"/>
    <x v="2"/>
    <x v="1"/>
  </r>
  <r>
    <n v="12"/>
    <x v="253"/>
    <x v="2"/>
    <x v="1"/>
  </r>
  <r>
    <n v="12"/>
    <x v="128"/>
    <x v="2"/>
    <x v="1"/>
  </r>
  <r>
    <n v="12"/>
    <x v="180"/>
    <x v="2"/>
    <x v="1"/>
  </r>
  <r>
    <n v="12"/>
    <x v="77"/>
    <x v="2"/>
    <x v="1"/>
  </r>
  <r>
    <n v="12"/>
    <x v="203"/>
    <x v="2"/>
    <x v="1"/>
  </r>
  <r>
    <n v="12"/>
    <x v="104"/>
    <x v="2"/>
    <x v="1"/>
  </r>
  <r>
    <n v="12"/>
    <x v="50"/>
    <x v="2"/>
    <x v="1"/>
  </r>
  <r>
    <n v="12"/>
    <x v="154"/>
    <x v="2"/>
    <x v="1"/>
  </r>
  <r>
    <n v="12"/>
    <x v="274"/>
    <x v="2"/>
    <x v="1"/>
  </r>
  <r>
    <n v="12"/>
    <x v="298"/>
    <x v="2"/>
    <x v="1"/>
  </r>
  <r>
    <n v="12"/>
    <x v="23"/>
    <x v="2"/>
    <x v="1"/>
  </r>
  <r>
    <n v="12"/>
    <x v="129"/>
    <x v="2"/>
    <x v="1"/>
  </r>
  <r>
    <n v="12"/>
    <x v="230"/>
    <x v="2"/>
    <x v="1"/>
  </r>
  <r>
    <n v="12"/>
    <x v="181"/>
    <x v="2"/>
    <x v="1"/>
  </r>
  <r>
    <n v="12"/>
    <x v="78"/>
    <x v="2"/>
    <x v="1"/>
  </r>
  <r>
    <n v="12"/>
    <x v="53"/>
    <x v="2"/>
    <x v="1"/>
  </r>
  <r>
    <n v="12"/>
    <x v="105"/>
    <x v="2"/>
    <x v="1"/>
  </r>
  <r>
    <n v="12"/>
    <x v="51"/>
    <x v="2"/>
    <x v="1"/>
  </r>
  <r>
    <n v="12"/>
    <x v="204"/>
    <x v="2"/>
    <x v="1"/>
  </r>
  <r>
    <n v="12"/>
    <x v="155"/>
    <x v="3"/>
    <x v="2"/>
  </r>
  <r>
    <n v="12"/>
    <x v="0"/>
    <x v="3"/>
    <x v="2"/>
  </r>
  <r>
    <n v="12"/>
    <x v="53"/>
    <x v="3"/>
    <x v="2"/>
  </r>
  <r>
    <n v="12"/>
    <x v="24"/>
    <x v="3"/>
    <x v="2"/>
  </r>
  <r>
    <n v="12"/>
    <x v="107"/>
    <x v="3"/>
    <x v="2"/>
  </r>
  <r>
    <n v="12"/>
    <x v="80"/>
    <x v="3"/>
    <x v="2"/>
  </r>
  <r>
    <n v="12"/>
    <x v="182"/>
    <x v="3"/>
    <x v="2"/>
  </r>
  <r>
    <n v="12"/>
    <x v="79"/>
    <x v="3"/>
    <x v="2"/>
  </r>
  <r>
    <n v="12"/>
    <x v="157"/>
    <x v="3"/>
    <x v="2"/>
  </r>
  <r>
    <n v="12"/>
    <x v="26"/>
    <x v="3"/>
    <x v="2"/>
  </r>
  <r>
    <n v="12"/>
    <x v="130"/>
    <x v="3"/>
    <x v="2"/>
  </r>
  <r>
    <n v="12"/>
    <x v="52"/>
    <x v="3"/>
    <x v="2"/>
  </r>
  <r>
    <n v="12"/>
    <x v="205"/>
    <x v="3"/>
    <x v="2"/>
  </r>
  <r>
    <n v="12"/>
    <x v="1"/>
    <x v="3"/>
    <x v="2"/>
  </r>
  <r>
    <n v="12"/>
    <x v="275"/>
    <x v="3"/>
    <x v="2"/>
  </r>
  <r>
    <n v="12"/>
    <x v="25"/>
    <x v="3"/>
    <x v="2"/>
  </r>
  <r>
    <n v="12"/>
    <x v="183"/>
    <x v="3"/>
    <x v="2"/>
  </r>
  <r>
    <n v="12"/>
    <x v="81"/>
    <x v="3"/>
    <x v="2"/>
  </r>
  <r>
    <n v="12"/>
    <x v="54"/>
    <x v="3"/>
    <x v="2"/>
  </r>
  <r>
    <n v="12"/>
    <x v="131"/>
    <x v="3"/>
    <x v="2"/>
  </r>
  <r>
    <n v="12"/>
    <x v="106"/>
    <x v="3"/>
    <x v="2"/>
  </r>
  <r>
    <n v="12"/>
    <x v="27"/>
    <x v="3"/>
    <x v="2"/>
  </r>
  <r>
    <n v="12"/>
    <x v="156"/>
    <x v="3"/>
    <x v="2"/>
  </r>
  <r>
    <n v="12"/>
    <x v="206"/>
    <x v="3"/>
    <x v="2"/>
  </r>
  <r>
    <n v="12"/>
    <x v="9"/>
    <x v="3"/>
    <x v="2"/>
  </r>
  <r>
    <n v="12"/>
    <x v="276"/>
    <x v="3"/>
    <x v="2"/>
  </r>
  <r>
    <n v="12"/>
    <x v="158"/>
    <x v="3"/>
    <x v="2"/>
  </r>
  <r>
    <n v="12"/>
    <x v="2"/>
    <x v="3"/>
    <x v="2"/>
  </r>
  <r>
    <n v="12"/>
    <x v="132"/>
    <x v="3"/>
    <x v="2"/>
  </r>
  <r>
    <n v="12"/>
    <x v="231"/>
    <x v="3"/>
    <x v="2"/>
  </r>
  <r>
    <n v="12"/>
    <x v="82"/>
    <x v="3"/>
    <x v="2"/>
  </r>
  <r>
    <n v="12"/>
    <x v="254"/>
    <x v="3"/>
    <x v="2"/>
  </r>
  <r>
    <n v="12"/>
    <x v="55"/>
    <x v="3"/>
    <x v="2"/>
  </r>
  <r>
    <n v="12"/>
    <x v="28"/>
    <x v="3"/>
    <x v="2"/>
  </r>
  <r>
    <n v="12"/>
    <x v="108"/>
    <x v="3"/>
    <x v="2"/>
  </r>
  <r>
    <n v="12"/>
    <x v="207"/>
    <x v="3"/>
    <x v="2"/>
  </r>
  <r>
    <n v="12"/>
    <x v="232"/>
    <x v="3"/>
    <x v="2"/>
  </r>
  <r>
    <n v="12"/>
    <x v="277"/>
    <x v="3"/>
    <x v="2"/>
  </r>
  <r>
    <n v="12"/>
    <x v="56"/>
    <x v="3"/>
    <x v="2"/>
  </r>
  <r>
    <n v="12"/>
    <x v="3"/>
    <x v="3"/>
    <x v="2"/>
  </r>
  <r>
    <n v="12"/>
    <x v="159"/>
    <x v="3"/>
    <x v="2"/>
  </r>
  <r>
    <n v="12"/>
    <x v="133"/>
    <x v="3"/>
    <x v="2"/>
  </r>
  <r>
    <n v="12"/>
    <x v="29"/>
    <x v="3"/>
    <x v="2"/>
  </r>
  <r>
    <n v="12"/>
    <x v="70"/>
    <x v="3"/>
    <x v="2"/>
  </r>
  <r>
    <n v="12"/>
    <x v="83"/>
    <x v="3"/>
    <x v="2"/>
  </r>
  <r>
    <n v="12"/>
    <x v="255"/>
    <x v="3"/>
    <x v="2"/>
  </r>
  <r>
    <n v="12"/>
    <x v="208"/>
    <x v="3"/>
    <x v="2"/>
  </r>
  <r>
    <n v="12"/>
    <x v="109"/>
    <x v="3"/>
    <x v="2"/>
  </r>
  <r>
    <n v="12"/>
    <x v="233"/>
    <x v="3"/>
    <x v="2"/>
  </r>
  <r>
    <n v="12"/>
    <x v="57"/>
    <x v="3"/>
    <x v="2"/>
  </r>
  <r>
    <n v="12"/>
    <x v="160"/>
    <x v="3"/>
    <x v="2"/>
  </r>
  <r>
    <n v="12"/>
    <x v="278"/>
    <x v="3"/>
    <x v="2"/>
  </r>
  <r>
    <n v="12"/>
    <x v="184"/>
    <x v="3"/>
    <x v="2"/>
  </r>
  <r>
    <n v="12"/>
    <x v="84"/>
    <x v="3"/>
    <x v="2"/>
  </r>
  <r>
    <n v="12"/>
    <x v="134"/>
    <x v="3"/>
    <x v="2"/>
  </r>
  <r>
    <n v="12"/>
    <x v="30"/>
    <x v="3"/>
    <x v="2"/>
  </r>
  <r>
    <n v="12"/>
    <x v="209"/>
    <x v="3"/>
    <x v="2"/>
  </r>
  <r>
    <n v="12"/>
    <x v="4"/>
    <x v="3"/>
    <x v="2"/>
  </r>
  <r>
    <n v="12"/>
    <x v="256"/>
    <x v="3"/>
    <x v="2"/>
  </r>
  <r>
    <n v="12"/>
    <x v="234"/>
    <x v="3"/>
    <x v="2"/>
  </r>
  <r>
    <n v="12"/>
    <x v="58"/>
    <x v="3"/>
    <x v="2"/>
  </r>
  <r>
    <n v="12"/>
    <x v="161"/>
    <x v="3"/>
    <x v="2"/>
  </r>
  <r>
    <n v="12"/>
    <x v="279"/>
    <x v="3"/>
    <x v="2"/>
  </r>
  <r>
    <n v="12"/>
    <x v="110"/>
    <x v="3"/>
    <x v="2"/>
  </r>
  <r>
    <n v="12"/>
    <x v="185"/>
    <x v="3"/>
    <x v="2"/>
  </r>
  <r>
    <n v="12"/>
    <x v="31"/>
    <x v="3"/>
    <x v="2"/>
  </r>
  <r>
    <n v="12"/>
    <x v="135"/>
    <x v="3"/>
    <x v="2"/>
  </r>
  <r>
    <n v="12"/>
    <x v="85"/>
    <x v="3"/>
    <x v="2"/>
  </r>
  <r>
    <n v="12"/>
    <x v="210"/>
    <x v="3"/>
    <x v="2"/>
  </r>
  <r>
    <n v="12"/>
    <x v="257"/>
    <x v="3"/>
    <x v="2"/>
  </r>
  <r>
    <n v="12"/>
    <x v="5"/>
    <x v="3"/>
    <x v="2"/>
  </r>
  <r>
    <n v="12"/>
    <x v="235"/>
    <x v="3"/>
    <x v="2"/>
  </r>
  <r>
    <n v="12"/>
    <x v="280"/>
    <x v="3"/>
    <x v="2"/>
  </r>
  <r>
    <n v="12"/>
    <x v="22"/>
    <x v="3"/>
    <x v="2"/>
  </r>
  <r>
    <n v="12"/>
    <x v="59"/>
    <x v="3"/>
    <x v="2"/>
  </r>
  <r>
    <n v="12"/>
    <x v="162"/>
    <x v="3"/>
    <x v="2"/>
  </r>
  <r>
    <n v="12"/>
    <x v="32"/>
    <x v="3"/>
    <x v="2"/>
  </r>
  <r>
    <n v="12"/>
    <x v="186"/>
    <x v="3"/>
    <x v="2"/>
  </r>
  <r>
    <n v="12"/>
    <x v="136"/>
    <x v="3"/>
    <x v="2"/>
  </r>
  <r>
    <n v="12"/>
    <x v="211"/>
    <x v="3"/>
    <x v="2"/>
  </r>
  <r>
    <n v="12"/>
    <x v="86"/>
    <x v="3"/>
    <x v="2"/>
  </r>
  <r>
    <n v="12"/>
    <x v="258"/>
    <x v="3"/>
    <x v="2"/>
  </r>
  <r>
    <n v="12"/>
    <x v="236"/>
    <x v="3"/>
    <x v="2"/>
  </r>
  <r>
    <n v="12"/>
    <x v="6"/>
    <x v="3"/>
    <x v="2"/>
  </r>
  <r>
    <n v="12"/>
    <x v="281"/>
    <x v="3"/>
    <x v="2"/>
  </r>
  <r>
    <n v="12"/>
    <x v="163"/>
    <x v="3"/>
    <x v="2"/>
  </r>
  <r>
    <n v="12"/>
    <x v="111"/>
    <x v="3"/>
    <x v="2"/>
  </r>
  <r>
    <n v="12"/>
    <x v="33"/>
    <x v="3"/>
    <x v="2"/>
  </r>
  <r>
    <n v="12"/>
    <x v="137"/>
    <x v="3"/>
    <x v="2"/>
  </r>
  <r>
    <n v="12"/>
    <x v="60"/>
    <x v="3"/>
    <x v="2"/>
  </r>
  <r>
    <n v="12"/>
    <x v="212"/>
    <x v="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7A8DED-5902-4B94-95C2-F5DFDC1E50FB}" name="TablaDinámica1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5:G11" firstHeaderRow="1" firstDataRow="1" firstDataCol="1"/>
  <pivotFields count="4">
    <pivotField showAll="0"/>
    <pivotField axis="axisRow" showAll="0">
      <items count="300">
        <item h="1" x="8"/>
        <item h="1" x="193"/>
        <item h="1" x="250"/>
        <item h="1" x="295"/>
        <item h="1" x="160"/>
        <item h="1" x="243"/>
        <item h="1" x="256"/>
        <item h="1" x="91"/>
        <item h="1" x="177"/>
        <item h="1" x="80"/>
        <item h="1" x="200"/>
        <item h="1" x="84"/>
        <item h="1" x="153"/>
        <item h="1" x="163"/>
        <item h="1" x="104"/>
        <item h="1" x="278"/>
        <item h="1" x="130"/>
        <item h="1" x="99"/>
        <item h="1" x="202"/>
        <item h="1" x="48"/>
        <item h="1" x="11"/>
        <item h="1" x="231"/>
        <item h="1" x="139"/>
        <item h="1" x="263"/>
        <item h="1" x="285"/>
        <item h="1" x="173"/>
        <item h="1" x="171"/>
        <item h="1" x="70"/>
        <item h="1" x="209"/>
        <item h="1" x="199"/>
        <item h="1" x="232"/>
        <item h="1" x="56"/>
        <item h="1" x="201"/>
        <item h="1" x="119"/>
        <item h="1" x="45"/>
        <item h="1" x="167"/>
        <item h="1" x="55"/>
        <item h="1" x="140"/>
        <item h="1" x="74"/>
        <item h="1" x="265"/>
        <item h="1" x="252"/>
        <item h="1" x="222"/>
        <item h="1" x="147"/>
        <item h="1" x="66"/>
        <item h="1" x="240"/>
        <item h="1" x="29"/>
        <item h="1" x="188"/>
        <item h="1" x="235"/>
        <item h="1" x="105"/>
        <item h="1" x="281"/>
        <item h="1" x="221"/>
        <item h="1" x="156"/>
        <item x="207"/>
        <item h="1" x="6"/>
        <item h="1" x="178"/>
        <item h="1" x="288"/>
        <item h="1" x="170"/>
        <item h="1" x="128"/>
        <item h="1" x="88"/>
        <item h="1" x="112"/>
        <item h="1" x="137"/>
        <item h="1" x="47"/>
        <item h="1" x="236"/>
        <item h="1" x="211"/>
        <item h="1" x="57"/>
        <item h="1" x="227"/>
        <item h="1" x="123"/>
        <item h="1" x="126"/>
        <item h="1" x="23"/>
        <item h="1" x="292"/>
        <item h="1" x="164"/>
        <item h="1" x="198"/>
        <item h="1" x="59"/>
        <item h="1" x="15"/>
        <item h="1" x="254"/>
        <item h="1" x="294"/>
        <item h="1" x="251"/>
        <item h="1" x="157"/>
        <item h="1" x="182"/>
        <item h="1" x="61"/>
        <item h="1" x="152"/>
        <item h="1" x="271"/>
        <item h="1" x="124"/>
        <item h="1" x="107"/>
        <item h="1" x="246"/>
        <item h="1" x="25"/>
        <item h="1" x="20"/>
        <item h="1" x="115"/>
        <item h="1" x="28"/>
        <item h="1" x="220"/>
        <item h="1" x="133"/>
        <item h="1" x="268"/>
        <item h="1" x="286"/>
        <item h="1" x="96"/>
        <item h="1" x="138"/>
        <item h="1" x="275"/>
        <item h="1" x="154"/>
        <item h="1" x="33"/>
        <item h="1" x="206"/>
        <item h="1" x="17"/>
        <item h="1" x="184"/>
        <item h="1" x="7"/>
        <item h="1" x="179"/>
        <item h="1" x="69"/>
        <item h="1" x="38"/>
        <item h="1" x="98"/>
        <item h="1" x="44"/>
        <item h="1" x="39"/>
        <item h="1" x="103"/>
        <item h="1" x="203"/>
        <item h="1" x="95"/>
        <item h="1" x="274"/>
        <item h="1" x="60"/>
        <item h="1" x="142"/>
        <item h="1" x="151"/>
        <item h="1" x="121"/>
        <item h="1" x="1"/>
        <item h="1" x="0"/>
        <item h="1" x="73"/>
        <item h="1" x="3"/>
        <item h="1" x="30"/>
        <item h="1" x="22"/>
        <item h="1" x="183"/>
        <item h="1" x="75"/>
        <item h="1" x="223"/>
        <item h="1" x="79"/>
        <item h="1" x="148"/>
        <item h="1" x="97"/>
        <item h="1" x="136"/>
        <item h="1" x="76"/>
        <item h="1" x="13"/>
        <item h="1" x="144"/>
        <item h="1" x="26"/>
        <item h="1" x="205"/>
        <item h="1" x="149"/>
        <item h="1" x="260"/>
        <item h="1" x="204"/>
        <item h="1" x="259"/>
        <item h="1" x="65"/>
        <item h="1" x="176"/>
        <item h="1" x="117"/>
        <item h="1" x="242"/>
        <item h="1" x="284"/>
        <item h="1" x="94"/>
        <item h="1" x="132"/>
        <item h="1" x="127"/>
        <item h="1" x="141"/>
        <item h="1" x="208"/>
        <item h="1" x="4"/>
        <item h="1" x="266"/>
        <item h="1" x="270"/>
        <item h="1" x="276"/>
        <item h="1" x="229"/>
        <item h="1" x="42"/>
        <item h="1" x="197"/>
        <item h="1" x="273"/>
        <item h="1" x="90"/>
        <item h="1" x="10"/>
        <item h="1" x="51"/>
        <item h="1" x="53"/>
        <item h="1" x="113"/>
        <item h="1" x="194"/>
        <item h="1" x="71"/>
        <item h="1" x="225"/>
        <item h="1" x="296"/>
        <item h="1" x="264"/>
        <item h="1" x="129"/>
        <item h="1" x="43"/>
        <item h="1" x="277"/>
        <item h="1" x="67"/>
        <item h="1" x="102"/>
        <item h="1" x="146"/>
        <item h="1" x="120"/>
        <item h="1" x="175"/>
        <item h="1" x="89"/>
        <item h="1" x="62"/>
        <item h="1" x="16"/>
        <item h="1" x="101"/>
        <item h="1" x="249"/>
        <item h="1" x="234"/>
        <item h="1" x="134"/>
        <item h="1" x="215"/>
        <item h="1" x="262"/>
        <item h="1" x="143"/>
        <item h="1" x="258"/>
        <item h="1" x="5"/>
        <item h="1" x="283"/>
        <item h="1" x="291"/>
        <item h="1" x="150"/>
        <item h="1" x="93"/>
        <item h="1" x="186"/>
        <item h="1" x="248"/>
        <item h="1" x="239"/>
        <item h="1" x="100"/>
        <item h="1" x="297"/>
        <item h="1" x="224"/>
        <item h="1" x="18"/>
        <item h="1" x="108"/>
        <item h="1" x="162"/>
        <item h="1" x="159"/>
        <item h="1" x="290"/>
        <item h="1" x="87"/>
        <item h="1" x="86"/>
        <item h="1" x="35"/>
        <item h="1" x="36"/>
        <item h="1" x="77"/>
        <item h="1" x="190"/>
        <item h="1" x="52"/>
        <item h="1" x="241"/>
        <item h="1" x="155"/>
        <item h="1" x="40"/>
        <item h="1" x="78"/>
        <item h="1" x="257"/>
        <item h="1" x="272"/>
        <item h="1" x="68"/>
        <item h="1" x="122"/>
        <item h="1" x="172"/>
        <item h="1" x="50"/>
        <item h="1" x="280"/>
        <item h="1" x="125"/>
        <item h="1" x="210"/>
        <item h="1" x="85"/>
        <item h="1" x="289"/>
        <item h="1" x="27"/>
        <item h="1" x="111"/>
        <item h="1" x="195"/>
        <item h="1" x="245"/>
        <item h="1" x="247"/>
        <item h="1" x="192"/>
        <item h="1" x="21"/>
        <item h="1" x="169"/>
        <item h="1" x="135"/>
        <item h="1" x="233"/>
        <item h="1" x="63"/>
        <item h="1" x="165"/>
        <item h="1" x="244"/>
        <item h="1" x="174"/>
        <item h="1" x="191"/>
        <item h="1" x="41"/>
        <item h="1" x="118"/>
        <item h="1" x="213"/>
        <item h="1" x="2"/>
        <item h="1" x="24"/>
        <item h="1" x="37"/>
        <item h="1" x="106"/>
        <item h="1" x="181"/>
        <item h="1" x="14"/>
        <item h="1" x="116"/>
        <item h="1" x="64"/>
        <item h="1" x="31"/>
        <item h="1" x="255"/>
        <item h="1" x="228"/>
        <item h="1" x="9"/>
        <item h="1" x="293"/>
        <item h="1" x="131"/>
        <item h="1" x="269"/>
        <item h="1" x="32"/>
        <item h="1" x="158"/>
        <item h="1" x="185"/>
        <item h="1" x="83"/>
        <item h="1" x="54"/>
        <item h="1" x="72"/>
        <item h="1" x="180"/>
        <item h="1" x="196"/>
        <item h="1" x="166"/>
        <item h="1" x="81"/>
        <item h="1" x="238"/>
        <item h="1" x="253"/>
        <item h="1" x="49"/>
        <item h="1" x="82"/>
        <item h="1" x="218"/>
        <item h="1" x="109"/>
        <item h="1" x="298"/>
        <item h="1" x="212"/>
        <item h="1" x="189"/>
        <item h="1" x="34"/>
        <item h="1" x="12"/>
        <item h="1" x="226"/>
        <item h="1" x="267"/>
        <item h="1" x="217"/>
        <item h="1" x="282"/>
        <item h="1" x="145"/>
        <item h="1" x="237"/>
        <item h="1" x="287"/>
        <item h="1" x="19"/>
        <item h="1" x="92"/>
        <item h="1" x="216"/>
        <item h="1" x="46"/>
        <item h="1" x="110"/>
        <item h="1" x="187"/>
        <item h="1" x="279"/>
        <item h="1" x="161"/>
        <item h="1" x="114"/>
        <item h="1" x="230"/>
        <item h="1" x="219"/>
        <item h="1" x="261"/>
        <item h="1" x="58"/>
        <item h="1" x="168"/>
        <item h="1" x="214"/>
        <item t="default"/>
      </items>
    </pivotField>
    <pivotField axis="axisRow" showAll="0">
      <items count="5">
        <item x="2"/>
        <item x="3"/>
        <item x="0"/>
        <item x="1"/>
        <item t="default"/>
      </items>
    </pivotField>
    <pivotField dataField="1" showAll="0">
      <items count="4">
        <item x="0"/>
        <item x="1"/>
        <item x="2"/>
        <item t="default"/>
      </items>
    </pivotField>
  </pivotFields>
  <rowFields count="2">
    <field x="1"/>
    <field x="2"/>
  </rowFields>
  <rowItems count="6">
    <i>
      <x v="52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Suma de monto_total" fld="3" baseField="0" baseItem="0"/>
  </dataFields>
  <formats count="21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1" type="button" dataOnly="0" labelOnly="1" outline="0" axis="axisRow" fieldPosition="0"/>
    </format>
    <format dxfId="25">
      <pivotArea dataOnly="0" labelOnly="1" fieldPosition="0">
        <references count="1">
          <reference field="1" count="0"/>
        </references>
      </pivotArea>
    </format>
    <format dxfId="24">
      <pivotArea dataOnly="0" labelOnly="1" grandRow="1" outline="0" fieldPosition="0"/>
    </format>
    <format dxfId="23">
      <pivotArea dataOnly="0" labelOnly="1" fieldPosition="0">
        <references count="2">
          <reference field="1" count="0" selected="0"/>
          <reference field="2" count="3">
            <x v="0"/>
            <x v="2"/>
            <x v="3"/>
          </reference>
        </references>
      </pivotArea>
    </format>
    <format dxfId="22">
      <pivotArea dataOnly="0" labelOnly="1" outline="0" axis="axisValues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1" type="button" dataOnly="0" labelOnly="1" outline="0" axis="axisRow" fieldPosition="0"/>
    </format>
    <format dxfId="18">
      <pivotArea dataOnly="0" labelOnly="1" fieldPosition="0">
        <references count="1">
          <reference field="1" count="0"/>
        </references>
      </pivotArea>
    </format>
    <format dxfId="17">
      <pivotArea dataOnly="0" labelOnly="1" grandRow="1" outline="0" fieldPosition="0"/>
    </format>
    <format dxfId="16">
      <pivotArea dataOnly="0" labelOnly="1" fieldPosition="0">
        <references count="2">
          <reference field="1" count="0" selected="0"/>
          <reference field="2" count="3">
            <x v="0"/>
            <x v="2"/>
            <x v="3"/>
          </reference>
        </references>
      </pivotArea>
    </format>
    <format dxfId="15">
      <pivotArea dataOnly="0" labelOnly="1" outline="0" axis="axisValues" fieldPosition="0"/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1" type="button" dataOnly="0" labelOnly="1" outline="0" axis="axisRow" fieldPosition="0"/>
    </format>
    <format dxfId="11">
      <pivotArea dataOnly="0" labelOnly="1" fieldPosition="0">
        <references count="1">
          <reference field="1" count="0"/>
        </references>
      </pivotArea>
    </format>
    <format dxfId="10">
      <pivotArea dataOnly="0" labelOnly="1" grandRow="1" outline="0" fieldPosition="0"/>
    </format>
    <format dxfId="9">
      <pivotArea dataOnly="0" labelOnly="1" fieldPosition="0">
        <references count="2">
          <reference field="1" count="0" selected="0"/>
          <reference field="2" count="0"/>
        </references>
      </pivotArea>
    </format>
    <format dxfId="8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D2318C31-078D-47D2-935A-6C8B03FBCF9A}" autoFormatId="16" applyNumberFormats="0" applyBorderFormats="0" applyFontFormats="0" applyPatternFormats="0" applyAlignmentFormats="0" applyWidthHeightFormats="0">
  <queryTableRefresh nextId="15" unboundColumnsRight="5">
    <queryTableFields count="6">
      <queryTableField id="2" name="product_name" tableColumnId="2"/>
      <queryTableField id="13" dataBound="0" tableColumnId="1"/>
      <queryTableField id="11" dataBound="0" tableColumnId="11"/>
      <queryTableField id="12" dataBound="0" tableColumnId="13"/>
      <queryTableField id="10" dataBound="0" tableColumnId="10"/>
      <queryTableField id="14" dataBound="0" tableColumnId="4"/>
    </queryTableFields>
    <queryTableDeletedFields count="6">
      <deletedField name="unidad_medida"/>
      <deletedField name="monto_total"/>
      <deletedField name="sistema_unidades"/>
      <deletedField name="marca"/>
      <deletedField name="lugar"/>
      <deletedField name="project_id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F8CD9960-D2CB-456F-87FB-201A88D42BF5}" autoFormatId="16" applyNumberFormats="0" applyBorderFormats="0" applyFontFormats="0" applyPatternFormats="0" applyAlignmentFormats="0" applyWidthHeightFormats="0">
  <queryTableRefresh nextId="4">
    <queryTableFields count="3">
      <queryTableField id="1" name="product_name" tableColumnId="1"/>
      <queryTableField id="2" name="distrito" tableColumnId="2"/>
      <queryTableField id="3" name="monto_total" tableColumnId="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istrito" xr10:uid="{39BB2829-8AB9-4389-87B0-CD2312620541}" sourceName="distrito">
  <pivotTables>
    <pivotTable tabId="5" name="TablaDinámica18"/>
  </pivotTables>
  <data>
    <tabular pivotCacheId="623338876">
      <items count="299">
        <i x="8"/>
        <i x="193"/>
        <i x="250"/>
        <i x="295"/>
        <i x="160"/>
        <i x="243"/>
        <i x="256"/>
        <i x="91"/>
        <i x="177"/>
        <i x="80"/>
        <i x="200"/>
        <i x="84"/>
        <i x="153"/>
        <i x="163"/>
        <i x="104"/>
        <i x="278"/>
        <i x="130"/>
        <i x="99"/>
        <i x="202"/>
        <i x="48"/>
        <i x="11"/>
        <i x="231"/>
        <i x="139"/>
        <i x="263"/>
        <i x="285"/>
        <i x="173"/>
        <i x="171"/>
        <i x="70"/>
        <i x="209"/>
        <i x="199"/>
        <i x="232"/>
        <i x="56"/>
        <i x="201"/>
        <i x="119"/>
        <i x="45"/>
        <i x="167"/>
        <i x="55"/>
        <i x="140"/>
        <i x="74"/>
        <i x="265"/>
        <i x="252"/>
        <i x="222"/>
        <i x="147"/>
        <i x="66"/>
        <i x="240"/>
        <i x="29"/>
        <i x="188"/>
        <i x="235"/>
        <i x="105"/>
        <i x="281"/>
        <i x="221"/>
        <i x="156"/>
        <i x="207" s="1"/>
        <i x="6"/>
        <i x="178"/>
        <i x="288"/>
        <i x="170"/>
        <i x="128"/>
        <i x="88"/>
        <i x="112"/>
        <i x="137"/>
        <i x="47"/>
        <i x="236"/>
        <i x="211"/>
        <i x="57"/>
        <i x="227"/>
        <i x="123"/>
        <i x="126"/>
        <i x="23"/>
        <i x="292"/>
        <i x="164"/>
        <i x="198"/>
        <i x="59"/>
        <i x="15"/>
        <i x="254"/>
        <i x="294"/>
        <i x="251"/>
        <i x="157"/>
        <i x="182"/>
        <i x="61"/>
        <i x="152"/>
        <i x="271"/>
        <i x="124"/>
        <i x="107"/>
        <i x="246"/>
        <i x="25"/>
        <i x="20"/>
        <i x="115"/>
        <i x="28"/>
        <i x="220"/>
        <i x="133"/>
        <i x="268"/>
        <i x="286"/>
        <i x="96"/>
        <i x="138"/>
        <i x="275"/>
        <i x="154"/>
        <i x="33"/>
        <i x="206"/>
        <i x="17"/>
        <i x="184"/>
        <i x="7"/>
        <i x="179"/>
        <i x="69"/>
        <i x="38"/>
        <i x="98"/>
        <i x="44"/>
        <i x="39"/>
        <i x="103"/>
        <i x="203"/>
        <i x="95"/>
        <i x="274"/>
        <i x="60"/>
        <i x="142"/>
        <i x="151"/>
        <i x="121"/>
        <i x="1"/>
        <i x="0"/>
        <i x="73"/>
        <i x="3"/>
        <i x="30"/>
        <i x="22"/>
        <i x="183"/>
        <i x="75"/>
        <i x="223"/>
        <i x="79"/>
        <i x="148"/>
        <i x="97"/>
        <i x="136"/>
        <i x="76"/>
        <i x="13"/>
        <i x="144"/>
        <i x="26"/>
        <i x="205"/>
        <i x="149"/>
        <i x="260"/>
        <i x="204"/>
        <i x="259"/>
        <i x="65"/>
        <i x="176"/>
        <i x="117"/>
        <i x="242"/>
        <i x="284"/>
        <i x="94"/>
        <i x="132"/>
        <i x="127"/>
        <i x="141"/>
        <i x="208"/>
        <i x="4"/>
        <i x="266"/>
        <i x="270"/>
        <i x="276"/>
        <i x="229"/>
        <i x="42"/>
        <i x="197"/>
        <i x="273"/>
        <i x="90"/>
        <i x="10"/>
        <i x="51"/>
        <i x="53"/>
        <i x="113"/>
        <i x="194"/>
        <i x="71"/>
        <i x="225"/>
        <i x="296"/>
        <i x="264"/>
        <i x="129"/>
        <i x="43"/>
        <i x="277"/>
        <i x="67"/>
        <i x="102"/>
        <i x="146"/>
        <i x="120"/>
        <i x="175"/>
        <i x="89"/>
        <i x="62"/>
        <i x="16"/>
        <i x="101"/>
        <i x="249"/>
        <i x="234"/>
        <i x="134"/>
        <i x="215"/>
        <i x="262"/>
        <i x="143"/>
        <i x="258"/>
        <i x="5"/>
        <i x="283"/>
        <i x="291"/>
        <i x="150"/>
        <i x="93"/>
        <i x="186"/>
        <i x="248"/>
        <i x="239"/>
        <i x="100"/>
        <i x="297"/>
        <i x="224"/>
        <i x="18"/>
        <i x="108"/>
        <i x="162"/>
        <i x="159"/>
        <i x="290"/>
        <i x="87"/>
        <i x="86"/>
        <i x="35"/>
        <i x="36"/>
        <i x="77"/>
        <i x="190"/>
        <i x="52"/>
        <i x="241"/>
        <i x="155"/>
        <i x="40"/>
        <i x="78"/>
        <i x="257"/>
        <i x="272"/>
        <i x="68"/>
        <i x="122"/>
        <i x="172"/>
        <i x="50"/>
        <i x="280"/>
        <i x="125"/>
        <i x="210"/>
        <i x="85"/>
        <i x="289"/>
        <i x="27"/>
        <i x="111"/>
        <i x="195"/>
        <i x="245"/>
        <i x="247"/>
        <i x="192"/>
        <i x="21"/>
        <i x="169"/>
        <i x="135"/>
        <i x="233"/>
        <i x="63"/>
        <i x="165"/>
        <i x="244"/>
        <i x="174"/>
        <i x="191"/>
        <i x="41"/>
        <i x="118"/>
        <i x="213"/>
        <i x="2"/>
        <i x="24"/>
        <i x="37"/>
        <i x="106"/>
        <i x="181"/>
        <i x="14"/>
        <i x="116"/>
        <i x="64"/>
        <i x="31"/>
        <i x="255"/>
        <i x="228"/>
        <i x="9"/>
        <i x="293"/>
        <i x="131"/>
        <i x="269"/>
        <i x="32"/>
        <i x="158"/>
        <i x="185"/>
        <i x="83"/>
        <i x="54"/>
        <i x="72"/>
        <i x="180"/>
        <i x="196"/>
        <i x="166"/>
        <i x="81"/>
        <i x="238"/>
        <i x="253"/>
        <i x="49"/>
        <i x="82"/>
        <i x="218"/>
        <i x="109"/>
        <i x="298"/>
        <i x="212"/>
        <i x="189"/>
        <i x="34"/>
        <i x="12"/>
        <i x="226"/>
        <i x="267"/>
        <i x="217"/>
        <i x="282"/>
        <i x="145"/>
        <i x="237"/>
        <i x="287"/>
        <i x="19"/>
        <i x="92"/>
        <i x="216"/>
        <i x="46"/>
        <i x="110"/>
        <i x="187"/>
        <i x="279"/>
        <i x="161"/>
        <i x="114"/>
        <i x="230"/>
        <i x="219"/>
        <i x="261"/>
        <i x="58"/>
        <i x="168"/>
        <i x="214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istrito" xr10:uid="{D96BC4CC-E176-4E92-AEB2-168A8CB9AE65}" cache="SegmentaciónDeDatos_distrito" caption="distrito" startItem="52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FA288B-BDE8-43B3-87DC-D268B89765E5}" name="inei_project" displayName="inei_project" ref="A1:F39" tableType="queryTable" dataDxfId="39">
  <autoFilter ref="A1:F39" xr:uid="{8DFA288B-BDE8-43B3-87DC-D268B89765E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sortState xmlns:xlrd2="http://schemas.microsoft.com/office/spreadsheetml/2017/richdata2" ref="A2:E39">
    <sortCondition ref="A1:A39"/>
  </sortState>
  <tableColumns count="6">
    <tableColumn id="2" xr3:uid="{0A9725A8-3FFB-41A7-85E5-1B452842C942}" uniqueName="2" name="id" totalsRowLabel="Total" queryTableFieldId="2" dataDxfId="38" totalsRowDxfId="37"/>
    <tableColumn id="1" xr3:uid="{AC2AD1EB-5776-4863-A005-70C0E46E26D8}" uniqueName="1" name="product_name" queryTableFieldId="13" dataDxfId="36"/>
    <tableColumn id="11" xr3:uid="{BCBC694B-4F6E-4677-B0DC-0B05AEF712C1}" uniqueName="11" name="Precio UN" queryTableFieldId="11" dataDxfId="35" totalsRowDxfId="34"/>
    <tableColumn id="13" xr3:uid="{77ECAE3A-62EC-45D3-9CA9-D454E610892E}" uniqueName="13" name="Cantidad" queryTableFieldId="12" dataDxfId="33" totalsRowDxfId="32"/>
    <tableColumn id="10" xr3:uid="{44C1831C-C043-4A8A-AF3C-CDB7E5C11199}" uniqueName="10" name="Precio Final" queryTableFieldId="10" dataDxfId="31">
      <calculatedColumnFormula>LEFT(inei_project[[#This Row],[Cantidad]],FIND(" ",inei_project[[#This Row],[Cantidad]]))*inei_project[[#This Row],[Precio UN]]</calculatedColumnFormula>
    </tableColumn>
    <tableColumn id="4" xr3:uid="{F1080823-5267-44DE-83BB-BDBCBCAE8A96}" uniqueName="4" name="Tipo" totalsRowFunction="count" queryTableFieldId="14" dataDxfId="30" totalsRowDxfId="29">
      <calculatedColumnFormula>IF(inei_project[[#This Row],[Precio Final]]&gt;40,"CG","PC")</calculatedColumnFormula>
    </tableColumn>
  </tableColumns>
  <tableStyleInfo name="TableStyleMedium14" showFirstColumn="0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98C6ED-B24D-4060-AB76-918BD5D933AC}" name="Tabla3" displayName="Tabla3" ref="A1:D1001" totalsRowShown="0" headerRowDxfId="7" tableBorderDxfId="6">
  <autoFilter ref="A1:D1001" xr:uid="{F298C6ED-B24D-4060-AB76-918BD5D933AC}"/>
  <tableColumns count="4">
    <tableColumn id="1" xr3:uid="{4D87E30B-C1AE-4138-BC62-A5E7BB790E77}" name="mes" dataDxfId="5"/>
    <tableColumn id="2" xr3:uid="{A23063DA-14F8-4DF4-87DF-60182E6E56BA}" name="distrito" dataDxfId="4"/>
    <tableColumn id="3" xr3:uid="{A3E1FC41-E8C8-467F-9B8D-5489F83CB51A}" name="product_name" dataDxfId="3"/>
    <tableColumn id="4" xr3:uid="{84D0CB3F-2DA8-4BCC-8AAF-F4ECE58B747C}" name="monto_total" dataDxfId="2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4B9D539-D090-4754-933C-6ABD2907E19F}" name="inei_project_pivot_productname__2" displayName="inei_project_pivot_productname__2" ref="X1:Z1001" tableType="queryTable" totalsRowShown="0">
  <autoFilter ref="X1:Z1001" xr:uid="{D4B9D539-D090-4754-933C-6ABD2907E19F}">
    <filterColumn colId="0" hiddenButton="1"/>
    <filterColumn colId="1" hiddenButton="1"/>
    <filterColumn colId="2" hiddenButton="1"/>
  </autoFilter>
  <tableColumns count="3">
    <tableColumn id="1" xr3:uid="{E321F1A7-3F36-481C-B8D4-96B9E7124DE9}" uniqueName="1" name="product_name" queryTableFieldId="1" dataDxfId="1"/>
    <tableColumn id="2" xr3:uid="{2DE9ED91-6E6F-4B18-B6D6-30D9CC9E2F14}" uniqueName="2" name="distrito" queryTableFieldId="2" dataDxfId="0"/>
    <tableColumn id="3" xr3:uid="{EB679794-D3D6-434F-8EC6-DC27BEB2CCA7}" uniqueName="3" name="monto_total" queryTableField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60000"/>
            <a:lumOff val="40000"/>
          </a:schemeClr>
        </a:solidFill>
        <a:ln>
          <a:noFill/>
        </a:ln>
      </a:spPr>
      <a:bodyPr vertOverflow="clip" horzOverflow="clip" rtlCol="0" anchor="t"/>
      <a:lstStyle>
        <a:defPPr algn="l">
          <a:defRPr sz="1600" kern="1200">
            <a:solidFill>
              <a:schemeClr val="tx1"/>
            </a:solidFill>
          </a:defRPr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CE571-D0DA-4FBE-8F22-14E74285C193}">
  <sheetPr codeName="Hoja11"/>
  <dimension ref="A1:U45"/>
  <sheetViews>
    <sheetView showGridLines="0" tabSelected="1" zoomScaleNormal="100" workbookViewId="0">
      <selection activeCell="M8" sqref="M8"/>
    </sheetView>
  </sheetViews>
  <sheetFormatPr defaultColWidth="11.42578125" defaultRowHeight="15" x14ac:dyDescent="0.25"/>
  <cols>
    <col min="1" max="1" width="10.140625" customWidth="1"/>
    <col min="2" max="2" width="38.85546875" customWidth="1"/>
    <col min="3" max="3" width="19" customWidth="1"/>
    <col min="4" max="4" width="20.85546875" customWidth="1"/>
    <col min="5" max="5" width="14.7109375" customWidth="1"/>
    <col min="6" max="6" width="16.28515625" bestFit="1" customWidth="1"/>
    <col min="9" max="9" width="39.85546875" bestFit="1" customWidth="1"/>
    <col min="10" max="10" width="15.7109375" bestFit="1" customWidth="1"/>
    <col min="21" max="21" width="11.85546875" bestFit="1" customWidth="1"/>
  </cols>
  <sheetData>
    <row r="1" spans="1:21" x14ac:dyDescent="0.25">
      <c r="A1" t="s">
        <v>279</v>
      </c>
      <c r="B1" t="s">
        <v>0</v>
      </c>
      <c r="C1" t="s">
        <v>277</v>
      </c>
      <c r="D1" t="s">
        <v>276</v>
      </c>
      <c r="E1" t="s">
        <v>278</v>
      </c>
      <c r="F1" t="s">
        <v>282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1" x14ac:dyDescent="0.25">
      <c r="A2" s="2">
        <v>222</v>
      </c>
      <c r="B2" s="2" t="s">
        <v>902</v>
      </c>
      <c r="C2" s="2">
        <v>4</v>
      </c>
      <c r="D2" s="2" t="s">
        <v>903</v>
      </c>
      <c r="E2" s="2">
        <f>LEFT(inei_project[[#This Row],[Cantidad]],FIND(" ",inei_project[[#This Row],[Cantidad]]))*inei_project[[#This Row],[Precio UN]]</f>
        <v>28</v>
      </c>
      <c r="F2" s="8" t="str">
        <f>IF(inei_project[[#This Row],[Precio Final]]&gt;40,"CG","PC")</f>
        <v>PC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</row>
    <row r="3" spans="1:21" x14ac:dyDescent="0.25">
      <c r="A3" s="2">
        <v>111</v>
      </c>
      <c r="B3" s="2" t="s">
        <v>900</v>
      </c>
      <c r="C3" s="2">
        <v>11</v>
      </c>
      <c r="D3" s="2" t="s">
        <v>901</v>
      </c>
      <c r="E3" s="2">
        <f>LEFT(inei_project[[#This Row],[Cantidad]],FIND(" ",inei_project[[#This Row],[Cantidad]]))*inei_project[[#This Row],[Precio UN]]</f>
        <v>22</v>
      </c>
      <c r="F3" s="8" t="str">
        <f>IF(inei_project[[#This Row],[Precio Final]]&gt;40,"CG","PC")</f>
        <v>PC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</row>
    <row r="4" spans="1:21" x14ac:dyDescent="0.25">
      <c r="A4">
        <v>35</v>
      </c>
      <c r="B4" t="s">
        <v>898</v>
      </c>
      <c r="C4">
        <v>12</v>
      </c>
      <c r="D4" t="s">
        <v>899</v>
      </c>
      <c r="E4">
        <f>LEFT(inei_project[[#This Row],[Cantidad]],FIND(" ",inei_project[[#This Row],[Cantidad]]))*inei_project[[#This Row],[Precio UN]]</f>
        <v>12</v>
      </c>
      <c r="F4" t="str">
        <f>IF(inei_project[[#This Row],[Precio Final]]&gt;40,"CG","PC")</f>
        <v>PC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1" x14ac:dyDescent="0.25">
      <c r="A5" s="2">
        <v>44</v>
      </c>
      <c r="B5" s="2" t="s">
        <v>896</v>
      </c>
      <c r="C5" s="2">
        <v>12</v>
      </c>
      <c r="D5" s="2" t="s">
        <v>897</v>
      </c>
      <c r="E5" s="2">
        <f>LEFT(inei_project[[#This Row],[Cantidad]],FIND(" ",inei_project[[#This Row],[Cantidad]]))*inei_project[[#This Row],[Precio UN]]</f>
        <v>36</v>
      </c>
      <c r="F5" s="35" t="str">
        <f>IF(inei_project[[#This Row],[Precio Final]]&gt;40,"CG","PC")</f>
        <v>PC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1" x14ac:dyDescent="0.25">
      <c r="A6" s="2">
        <v>1</v>
      </c>
      <c r="B6" s="2" t="s">
        <v>190</v>
      </c>
      <c r="C6" s="2">
        <v>4</v>
      </c>
      <c r="D6" s="2" t="s">
        <v>273</v>
      </c>
      <c r="E6" s="2">
        <f>LEFT(inei_project[[#This Row],[Cantidad]],FIND(" ",inei_project[[#This Row],[Cantidad]]))*inei_project[[#This Row],[Precio UN]]</f>
        <v>4</v>
      </c>
      <c r="F6" s="8" t="str">
        <f>IF(inei_project[[#This Row],[Precio Final]]&gt;40,"CG","PC")</f>
        <v>PC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</row>
    <row r="7" spans="1:21" x14ac:dyDescent="0.25">
      <c r="A7" s="2">
        <v>2</v>
      </c>
      <c r="B7" s="2" t="s">
        <v>28</v>
      </c>
      <c r="C7" s="2">
        <v>9</v>
      </c>
      <c r="D7" s="2" t="s">
        <v>255</v>
      </c>
      <c r="E7" s="2">
        <f>LEFT(inei_project[[#This Row],[Cantidad]],FIND(" ",inei_project[[#This Row],[Cantidad]]))*inei_project[[#This Row],[Precio UN]]</f>
        <v>45</v>
      </c>
      <c r="F7" s="8" t="str">
        <f>IF(inei_project[[#This Row],[Precio Final]]&gt;40,"CG","PC")</f>
        <v>CG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1" x14ac:dyDescent="0.25">
      <c r="A8" s="2">
        <v>3</v>
      </c>
      <c r="B8" s="2" t="s">
        <v>62</v>
      </c>
      <c r="C8" s="2">
        <v>4</v>
      </c>
      <c r="D8" s="2" t="s">
        <v>256</v>
      </c>
      <c r="E8" s="2">
        <f>LEFT(inei_project[[#This Row],[Cantidad]],FIND(" ",inei_project[[#This Row],[Cantidad]]))*inei_project[[#This Row],[Precio UN]]</f>
        <v>12</v>
      </c>
      <c r="F8" s="8" t="str">
        <f>IF(inei_project[[#This Row],[Precio Final]]&gt;40,"CG","PC")</f>
        <v>PC</v>
      </c>
      <c r="G8" s="1"/>
      <c r="H8" s="6"/>
      <c r="I8" s="6"/>
      <c r="J8" s="6"/>
      <c r="K8" s="6"/>
      <c r="L8" s="1"/>
      <c r="M8" s="1"/>
      <c r="N8" s="1"/>
      <c r="O8" s="1"/>
      <c r="P8" s="1"/>
      <c r="Q8" s="1"/>
      <c r="R8" s="1"/>
      <c r="S8" s="1"/>
      <c r="T8" s="1"/>
    </row>
    <row r="9" spans="1:21" x14ac:dyDescent="0.25">
      <c r="A9" s="2">
        <v>4</v>
      </c>
      <c r="B9" s="2" t="s">
        <v>156</v>
      </c>
      <c r="C9" s="2">
        <v>7</v>
      </c>
      <c r="D9" s="2" t="s">
        <v>273</v>
      </c>
      <c r="E9" s="2">
        <f>LEFT(inei_project[[#This Row],[Cantidad]],FIND(" ",inei_project[[#This Row],[Cantidad]]))*inei_project[[#This Row],[Precio UN]]</f>
        <v>7</v>
      </c>
      <c r="F9" s="8" t="str">
        <f>IF(inei_project[[#This Row],[Precio Final]]&gt;40,"CG","PC")</f>
        <v>PC</v>
      </c>
      <c r="G9" s="1"/>
      <c r="H9" s="6"/>
      <c r="I9" s="6"/>
      <c r="J9" s="6"/>
      <c r="K9" s="6"/>
      <c r="L9" s="1"/>
      <c r="M9" s="1"/>
      <c r="N9" s="1"/>
      <c r="O9" s="1"/>
      <c r="P9" s="1"/>
      <c r="Q9" s="1"/>
      <c r="R9" s="1"/>
      <c r="S9" s="1"/>
      <c r="T9" s="1"/>
    </row>
    <row r="10" spans="1:21" x14ac:dyDescent="0.25">
      <c r="A10" s="2">
        <v>5</v>
      </c>
      <c r="B10" s="2" t="s">
        <v>49</v>
      </c>
      <c r="C10" s="2">
        <v>5</v>
      </c>
      <c r="D10" s="2" t="s">
        <v>259</v>
      </c>
      <c r="E10" s="2">
        <f>LEFT(inei_project[[#This Row],[Cantidad]],FIND(" ",inei_project[[#This Row],[Cantidad]]))*inei_project[[#This Row],[Precio UN]]</f>
        <v>300</v>
      </c>
      <c r="F10" s="8" t="str">
        <f>IF(inei_project[[#This Row],[Precio Final]]&gt;40,"CG","PC")</f>
        <v>CG</v>
      </c>
      <c r="G10" s="1"/>
      <c r="H10" s="22" t="s">
        <v>281</v>
      </c>
      <c r="I10" s="22" t="s">
        <v>280</v>
      </c>
      <c r="J10" s="22" t="s">
        <v>277</v>
      </c>
      <c r="K10" s="22" t="s">
        <v>276</v>
      </c>
      <c r="L10" s="1"/>
      <c r="M10" s="1"/>
      <c r="N10" s="1"/>
      <c r="O10" s="1"/>
      <c r="P10" s="1"/>
      <c r="Q10" s="1"/>
      <c r="R10" s="1"/>
      <c r="S10" s="1"/>
      <c r="T10" s="1"/>
    </row>
    <row r="11" spans="1:21" x14ac:dyDescent="0.25">
      <c r="A11" s="2">
        <v>6</v>
      </c>
      <c r="B11" s="2" t="s">
        <v>212</v>
      </c>
      <c r="C11" s="2">
        <v>12</v>
      </c>
      <c r="D11" s="2" t="s">
        <v>274</v>
      </c>
      <c r="E11" s="2">
        <f>LEFT(inei_project[[#This Row],[Cantidad]],FIND(" ",inei_project[[#This Row],[Cantidad]]))*inei_project[[#This Row],[Precio UN]]</f>
        <v>0</v>
      </c>
      <c r="F11" s="8" t="str">
        <f>IF(inei_project[[#This Row],[Precio Final]]&gt;40,"CG","PC")</f>
        <v>PC</v>
      </c>
      <c r="G11" s="1"/>
      <c r="H11" s="34"/>
      <c r="I11" s="34"/>
      <c r="J11" s="34"/>
      <c r="K11" s="3"/>
      <c r="L11" s="1"/>
      <c r="M11" s="1"/>
      <c r="N11" s="1"/>
      <c r="O11" s="1"/>
      <c r="P11" s="1"/>
      <c r="Q11" s="1"/>
      <c r="R11" s="1"/>
      <c r="S11" s="1"/>
      <c r="T11" s="1"/>
    </row>
    <row r="12" spans="1:21" x14ac:dyDescent="0.25">
      <c r="A12" s="2">
        <v>7</v>
      </c>
      <c r="B12" s="2" t="s">
        <v>192</v>
      </c>
      <c r="C12" s="2">
        <v>1</v>
      </c>
      <c r="D12" s="2" t="s">
        <v>268</v>
      </c>
      <c r="E12" s="2">
        <f>LEFT(inei_project[[#This Row],[Cantidad]],FIND(" ",inei_project[[#This Row],[Cantidad]]))*inei_project[[#This Row],[Precio UN]]</f>
        <v>1</v>
      </c>
      <c r="F12" s="8" t="str">
        <f>IF(inei_project[[#This Row],[Precio Final]]&gt;40,"CG","PC")</f>
        <v>PC</v>
      </c>
      <c r="G12" s="1"/>
      <c r="H12" s="6"/>
      <c r="I12" s="6"/>
      <c r="J12" s="6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1" x14ac:dyDescent="0.25">
      <c r="A13" s="2">
        <v>8</v>
      </c>
      <c r="B13" s="2" t="s">
        <v>73</v>
      </c>
      <c r="C13" s="2">
        <v>3</v>
      </c>
      <c r="D13" s="2" t="s">
        <v>264</v>
      </c>
      <c r="E13" s="2">
        <f>LEFT(inei_project[[#This Row],[Cantidad]],FIND(" ",inei_project[[#This Row],[Cantidad]]))*inei_project[[#This Row],[Precio UN]]</f>
        <v>3</v>
      </c>
      <c r="F13" s="8" t="str">
        <f>IF(inei_project[[#This Row],[Precio Final]]&gt;40,"CG","PC")</f>
        <v>PC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1" x14ac:dyDescent="0.25">
      <c r="A14" s="2">
        <v>9</v>
      </c>
      <c r="B14" s="2" t="s">
        <v>166</v>
      </c>
      <c r="C14" s="2">
        <v>4</v>
      </c>
      <c r="D14" s="2" t="s">
        <v>275</v>
      </c>
      <c r="E14" s="2">
        <f>LEFT(inei_project[[#This Row],[Cantidad]],FIND(" ",inei_project[[#This Row],[Cantidad]]))*inei_project[[#This Row],[Precio UN]]</f>
        <v>28</v>
      </c>
      <c r="F14" s="8" t="str">
        <f>IF(inei_project[[#This Row],[Precio Final]]&gt;40,"CG","PC")</f>
        <v>PC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t="b">
        <v>1</v>
      </c>
    </row>
    <row r="15" spans="1:21" x14ac:dyDescent="0.25">
      <c r="A15" s="2">
        <v>10</v>
      </c>
      <c r="B15" s="2" t="s">
        <v>233</v>
      </c>
      <c r="C15" s="2">
        <v>14</v>
      </c>
      <c r="D15" s="2" t="s">
        <v>261</v>
      </c>
      <c r="E15" s="2">
        <f>LEFT(inei_project[[#This Row],[Cantidad]],FIND(" ",inei_project[[#This Row],[Cantidad]]))*inei_project[[#This Row],[Precio UN]]</f>
        <v>140</v>
      </c>
      <c r="F15" s="8" t="str">
        <f>IF(inei_project[[#This Row],[Precio Final]]&gt;40,"CG","PC")</f>
        <v>CG</v>
      </c>
      <c r="G15" s="1"/>
      <c r="H15" s="6"/>
      <c r="I15" s="6"/>
      <c r="J15" s="6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1" x14ac:dyDescent="0.25">
      <c r="A16" s="2">
        <v>11</v>
      </c>
      <c r="B16" s="2" t="s">
        <v>21</v>
      </c>
      <c r="C16" s="2">
        <v>11</v>
      </c>
      <c r="D16" s="2" t="s">
        <v>251</v>
      </c>
      <c r="E16" s="2">
        <f>LEFT(inei_project[[#This Row],[Cantidad]],FIND(" ",inei_project[[#This Row],[Cantidad]]))*inei_project[[#This Row],[Precio UN]]</f>
        <v>11</v>
      </c>
      <c r="F16" s="8" t="str">
        <f>IF(inei_project[[#This Row],[Precio Final]]&gt;40,"CG","PC")</f>
        <v>PC</v>
      </c>
      <c r="G16" s="1"/>
      <c r="H16" s="6"/>
      <c r="I16" s="6"/>
      <c r="J16" s="6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1" x14ac:dyDescent="0.25">
      <c r="A17" s="2">
        <v>12</v>
      </c>
      <c r="B17" s="2" t="s">
        <v>175</v>
      </c>
      <c r="C17" s="2">
        <v>10</v>
      </c>
      <c r="D17" s="2" t="s">
        <v>265</v>
      </c>
      <c r="E17" s="2">
        <f>LEFT(inei_project[[#This Row],[Cantidad]],FIND(" ",inei_project[[#This Row],[Cantidad]]))*inei_project[[#This Row],[Precio UN]]</f>
        <v>0</v>
      </c>
      <c r="F17" s="8" t="str">
        <f>IF(inei_project[[#This Row],[Precio Final]]&gt;40,"CG","PC")</f>
        <v>PC</v>
      </c>
      <c r="G17" s="1"/>
      <c r="H17" s="6"/>
      <c r="I17" s="6"/>
      <c r="J17" s="6"/>
      <c r="K17" s="6"/>
      <c r="L17" s="1"/>
      <c r="M17" s="1"/>
      <c r="N17" s="1"/>
      <c r="O17" s="1"/>
      <c r="P17" s="1"/>
      <c r="Q17" s="1"/>
      <c r="R17" s="1"/>
      <c r="S17" s="1"/>
      <c r="T17" s="1"/>
    </row>
    <row r="18" spans="1:21" x14ac:dyDescent="0.25">
      <c r="A18" s="2">
        <v>13</v>
      </c>
      <c r="B18" s="2" t="s">
        <v>20</v>
      </c>
      <c r="C18" s="2">
        <v>10</v>
      </c>
      <c r="D18" s="2" t="s">
        <v>251</v>
      </c>
      <c r="E18" s="2">
        <f>LEFT(inei_project[[#This Row],[Cantidad]],FIND(" ",inei_project[[#This Row],[Cantidad]]))*inei_project[[#This Row],[Precio UN]]</f>
        <v>10</v>
      </c>
      <c r="F18" s="8" t="str">
        <f>IF(inei_project[[#This Row],[Precio Final]]&gt;40,"CG","PC")</f>
        <v>PC</v>
      </c>
      <c r="G18" s="1"/>
      <c r="H18" s="6"/>
      <c r="I18" s="6"/>
      <c r="J18" s="6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1" x14ac:dyDescent="0.25">
      <c r="A19" s="2">
        <v>14</v>
      </c>
      <c r="B19" s="2" t="s">
        <v>24</v>
      </c>
      <c r="C19" s="2">
        <v>4</v>
      </c>
      <c r="D19" s="2" t="s">
        <v>254</v>
      </c>
      <c r="E19" s="2">
        <f>LEFT(inei_project[[#This Row],[Cantidad]],FIND(" ",inei_project[[#This Row],[Cantidad]]))*inei_project[[#This Row],[Precio UN]]</f>
        <v>4</v>
      </c>
      <c r="F19" s="8" t="str">
        <f>IF(inei_project[[#This Row],[Precio Final]]&gt;40,"CG","PC")</f>
        <v>PC</v>
      </c>
      <c r="G19" s="1"/>
      <c r="H19" s="6"/>
      <c r="I19" s="6"/>
      <c r="J19" s="6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1" x14ac:dyDescent="0.25">
      <c r="A20" s="2">
        <v>15</v>
      </c>
      <c r="B20" s="2" t="s">
        <v>159</v>
      </c>
      <c r="C20" s="2">
        <v>7</v>
      </c>
      <c r="D20" s="2" t="s">
        <v>269</v>
      </c>
      <c r="E20" s="2">
        <f>LEFT(inei_project[[#This Row],[Cantidad]],FIND(" ",inei_project[[#This Row],[Cantidad]]))*inei_project[[#This Row],[Precio UN]]</f>
        <v>0</v>
      </c>
      <c r="F20" s="8" t="str">
        <f>IF(inei_project[[#This Row],[Precio Final]]&gt;40,"CG","PC")</f>
        <v>PC</v>
      </c>
      <c r="G20" s="1"/>
      <c r="H20" s="6"/>
      <c r="I20" s="6"/>
      <c r="J20" s="6"/>
      <c r="K20" s="1"/>
      <c r="L20" s="1"/>
      <c r="M20" s="1"/>
      <c r="N20" s="1"/>
      <c r="O20" s="1"/>
      <c r="P20" s="1"/>
      <c r="Q20" s="1"/>
      <c r="R20" s="1"/>
      <c r="S20" s="1"/>
      <c r="T20" s="1"/>
      <c r="U20" t="b">
        <v>1</v>
      </c>
    </row>
    <row r="21" spans="1:21" x14ac:dyDescent="0.25">
      <c r="A21" s="2">
        <v>16</v>
      </c>
      <c r="B21" s="2" t="s">
        <v>29</v>
      </c>
      <c r="C21" s="2">
        <v>5</v>
      </c>
      <c r="D21" s="2" t="s">
        <v>252</v>
      </c>
      <c r="E21" s="2">
        <f>LEFT(inei_project[[#This Row],[Cantidad]],FIND(" ",inei_project[[#This Row],[Cantidad]]))*inei_project[[#This Row],[Precio UN]]</f>
        <v>10</v>
      </c>
      <c r="F21" s="8" t="str">
        <f>IF(inei_project[[#This Row],[Precio Final]]&gt;40,"CG","PC")</f>
        <v>PC</v>
      </c>
      <c r="G21" s="1"/>
      <c r="H21" s="22" t="s">
        <v>281</v>
      </c>
      <c r="I21" s="22" t="s">
        <v>280</v>
      </c>
      <c r="J21" s="22" t="s">
        <v>278</v>
      </c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1" x14ac:dyDescent="0.25">
      <c r="A22" s="2">
        <v>17</v>
      </c>
      <c r="B22" s="2" t="s">
        <v>106</v>
      </c>
      <c r="C22" s="2">
        <v>1</v>
      </c>
      <c r="D22" s="2" t="s">
        <v>269</v>
      </c>
      <c r="E22" s="2">
        <f>LEFT(inei_project[[#This Row],[Cantidad]],FIND(" ",inei_project[[#This Row],[Cantidad]]))*inei_project[[#This Row],[Precio UN]]</f>
        <v>0</v>
      </c>
      <c r="F22" s="8" t="str">
        <f>IF(inei_project[[#This Row],[Precio Final]]&gt;40,"CG","PC")</f>
        <v>PC</v>
      </c>
      <c r="G22" s="1"/>
      <c r="H22" s="3">
        <v>15</v>
      </c>
      <c r="I22" s="4" t="str">
        <f>IFERROR(VLOOKUP(H22,inei_project[],2,FALSE),"Ingrese ID valido")</f>
        <v>AJO ENTERO A GRANEL</v>
      </c>
      <c r="J22" s="4">
        <f>IFERROR(VLOOKUP(H22,inei_project[#All],5,FALSE),"Ingrese ID valido")</f>
        <v>0</v>
      </c>
      <c r="K22" s="1"/>
      <c r="L22" s="1"/>
      <c r="M22" s="1"/>
      <c r="N22" s="1"/>
      <c r="O22" s="1"/>
      <c r="P22" s="1"/>
      <c r="Q22" s="1"/>
      <c r="R22" s="1"/>
      <c r="S22" s="1"/>
      <c r="T22" s="1"/>
    </row>
    <row r="23" spans="1:21" x14ac:dyDescent="0.25">
      <c r="A23" s="2">
        <v>18</v>
      </c>
      <c r="B23" s="2" t="s">
        <v>67</v>
      </c>
      <c r="C23" s="2">
        <v>5</v>
      </c>
      <c r="D23" s="2" t="s">
        <v>253</v>
      </c>
      <c r="E23" s="2">
        <f>LEFT(inei_project[[#This Row],[Cantidad]],FIND(" ",inei_project[[#This Row],[Cantidad]]))*inei_project[[#This Row],[Precio UN]]</f>
        <v>0</v>
      </c>
      <c r="F23" s="8" t="str">
        <f>IF(inei_project[[#This Row],[Precio Final]]&gt;40,"CG","PC")</f>
        <v>PC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</row>
    <row r="24" spans="1:21" x14ac:dyDescent="0.25">
      <c r="A24" s="2">
        <v>19</v>
      </c>
      <c r="B24" s="2" t="s">
        <v>70</v>
      </c>
      <c r="C24" s="2">
        <v>2</v>
      </c>
      <c r="D24" s="2" t="s">
        <v>262</v>
      </c>
      <c r="E24" s="2">
        <f>LEFT(inei_project[[#This Row],[Cantidad]],FIND(" ",inei_project[[#This Row],[Cantidad]]))*inei_project[[#This Row],[Precio UN]]</f>
        <v>12</v>
      </c>
      <c r="F24" s="8" t="str">
        <f>IF(inei_project[[#This Row],[Precio Final]]&gt;40,"CG","PC")</f>
        <v>PC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</row>
    <row r="25" spans="1:21" x14ac:dyDescent="0.25">
      <c r="A25" s="2">
        <v>20</v>
      </c>
      <c r="B25" s="2" t="s">
        <v>105</v>
      </c>
      <c r="C25" s="2">
        <v>13</v>
      </c>
      <c r="D25" s="2" t="s">
        <v>253</v>
      </c>
      <c r="E25" s="2">
        <f>LEFT(inei_project[[#This Row],[Cantidad]],FIND(" ",inei_project[[#This Row],[Cantidad]]))*inei_project[[#This Row],[Precio UN]]</f>
        <v>0</v>
      </c>
      <c r="F25" s="8" t="str">
        <f>IF(inei_project[[#This Row],[Precio Final]]&gt;40,"CG","PC")</f>
        <v>PC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21" x14ac:dyDescent="0.25">
      <c r="A26" s="2">
        <v>21</v>
      </c>
      <c r="B26" s="2" t="s">
        <v>48</v>
      </c>
      <c r="C26" s="2">
        <v>2</v>
      </c>
      <c r="D26" s="2" t="s">
        <v>258</v>
      </c>
      <c r="E26" s="2">
        <f>LEFT(inei_project[[#This Row],[Cantidad]],FIND(" ",inei_project[[#This Row],[Cantidad]]))*inei_project[[#This Row],[Precio UN]]</f>
        <v>700</v>
      </c>
      <c r="F26" s="8" t="str">
        <f>IF(inei_project[[#This Row],[Precio Final]]&gt;40,"CG","PC")</f>
        <v>CG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1" x14ac:dyDescent="0.25">
      <c r="A27" s="2">
        <v>22</v>
      </c>
      <c r="B27" s="2" t="s">
        <v>232</v>
      </c>
      <c r="C27" s="2">
        <v>7</v>
      </c>
      <c r="D27" s="2" t="s">
        <v>250</v>
      </c>
      <c r="E27" s="2">
        <f>LEFT(inei_project[[#This Row],[Cantidad]],FIND(" ",inei_project[[#This Row],[Cantidad]]))*inei_project[[#This Row],[Precio UN]]</f>
        <v>7</v>
      </c>
      <c r="F27" s="8" t="str">
        <f>IF(inei_project[[#This Row],[Precio Final]]&gt;40,"CG","PC")</f>
        <v>PC</v>
      </c>
      <c r="G27" s="1"/>
      <c r="H27" s="22" t="s">
        <v>281</v>
      </c>
      <c r="I27" s="22" t="s">
        <v>280</v>
      </c>
      <c r="J27" s="22" t="s">
        <v>278</v>
      </c>
      <c r="K27" s="1"/>
      <c r="L27" s="1"/>
      <c r="M27" s="1"/>
      <c r="N27" s="1"/>
      <c r="O27" s="1"/>
      <c r="P27" s="1"/>
      <c r="Q27" s="1"/>
      <c r="R27" s="1"/>
      <c r="S27" s="1"/>
      <c r="T27" s="1"/>
    </row>
    <row r="28" spans="1:21" x14ac:dyDescent="0.25">
      <c r="A28" s="2">
        <v>23</v>
      </c>
      <c r="B28" s="2" t="s">
        <v>181</v>
      </c>
      <c r="C28" s="2">
        <v>2</v>
      </c>
      <c r="D28" s="2" t="s">
        <v>260</v>
      </c>
      <c r="E28" s="2">
        <f>LEFT(inei_project[[#This Row],[Cantidad]],FIND(" ",inei_project[[#This Row],[Cantidad]]))*inei_project[[#This Row],[Precio UN]]</f>
        <v>20</v>
      </c>
      <c r="F28" s="8" t="str">
        <f>IF(inei_project[[#This Row],[Precio Final]]&gt;40,"CG","PC")</f>
        <v>PC</v>
      </c>
      <c r="G28" s="1"/>
      <c r="H28" s="31">
        <v>11</v>
      </c>
      <c r="I28" s="1" t="str">
        <f>IFERROR(INDEX(inei_project[product_name],MATCH(H28,inei_project[id],0)),"Ingrese ID valido")</f>
        <v>AJI ESCABECHE</v>
      </c>
      <c r="J28" s="1">
        <f>IFERROR(INDEX(inei_project[Precio Final],MATCH(H28,inei_project[id],0)),"Ingrese ID valido")</f>
        <v>11</v>
      </c>
      <c r="K28" s="1"/>
      <c r="L28" s="1"/>
      <c r="M28" s="1"/>
      <c r="N28" s="1"/>
      <c r="O28" s="1"/>
      <c r="P28" s="1"/>
      <c r="Q28" s="1"/>
      <c r="R28" s="1"/>
      <c r="S28" s="1"/>
      <c r="T28" s="1"/>
    </row>
    <row r="29" spans="1:21" x14ac:dyDescent="0.25">
      <c r="A29" s="2">
        <v>24</v>
      </c>
      <c r="B29" s="2" t="s">
        <v>132</v>
      </c>
      <c r="C29" s="2">
        <v>7</v>
      </c>
      <c r="D29" s="2" t="s">
        <v>271</v>
      </c>
      <c r="E29" s="2">
        <f>LEFT(inei_project[[#This Row],[Cantidad]],FIND(" ",inei_project[[#This Row],[Cantidad]]))*inei_project[[#This Row],[Precio UN]]</f>
        <v>35</v>
      </c>
      <c r="F29" s="8" t="str">
        <f>IF(inei_project[[#This Row],[Precio Final]]&gt;40,"CG","PC")</f>
        <v>PC</v>
      </c>
      <c r="G29" s="1"/>
      <c r="H29" s="32">
        <v>20</v>
      </c>
      <c r="I29" s="1" t="str">
        <f>IFERROR(INDEX(inei_project[product_name],MATCH(H29,inei_project[id],0)),"Ingrese ID valido")</f>
        <v>APIO</v>
      </c>
      <c r="J29" s="1">
        <f>IFERROR(INDEX(inei_project[Precio Final],MATCH(H29,inei_project[id],0)),"Ingrese ID valido")</f>
        <v>0</v>
      </c>
      <c r="K29" s="1"/>
      <c r="L29" s="1"/>
      <c r="M29" s="1"/>
      <c r="N29" s="1"/>
      <c r="O29" s="1"/>
      <c r="P29" s="1"/>
      <c r="Q29" s="1"/>
      <c r="R29" s="1"/>
      <c r="S29" s="1"/>
      <c r="T29" s="1"/>
    </row>
    <row r="30" spans="1:21" x14ac:dyDescent="0.25">
      <c r="A30" s="2">
        <v>25</v>
      </c>
      <c r="B30" s="2" t="s">
        <v>82</v>
      </c>
      <c r="C30" s="2">
        <v>14</v>
      </c>
      <c r="D30" s="2" t="s">
        <v>266</v>
      </c>
      <c r="E30" s="2">
        <f>LEFT(inei_project[[#This Row],[Cantidad]],FIND(" ",inei_project[[#This Row],[Cantidad]]))*inei_project[[#This Row],[Precio UN]]</f>
        <v>252</v>
      </c>
      <c r="F30" s="8" t="str">
        <f>IF(inei_project[[#This Row],[Precio Final]]&gt;40,"CG","PC")</f>
        <v>CG</v>
      </c>
      <c r="G30" s="1"/>
      <c r="H30" s="32">
        <v>32</v>
      </c>
      <c r="I30" s="1" t="str">
        <f>IFERROR(INDEX(inei_project[product_name],MATCH(H30,inei_project[id],0)),"Ingrese ID valido")</f>
        <v>ARROZ CON PATO Y PAPA A LA HUANCAINA</v>
      </c>
      <c r="J30" s="1">
        <f>IFERROR(INDEX(inei_project[Precio Final],MATCH(H30,inei_project[id],0)),"Ingrese ID valido")</f>
        <v>120</v>
      </c>
      <c r="K30" s="1"/>
      <c r="L30" s="1"/>
      <c r="M30" s="1"/>
      <c r="N30" s="1"/>
      <c r="O30" s="1"/>
      <c r="P30" s="1"/>
      <c r="Q30" s="1"/>
      <c r="R30" s="1"/>
      <c r="S30" s="1"/>
      <c r="T30" s="1"/>
    </row>
    <row r="31" spans="1:21" x14ac:dyDescent="0.25">
      <c r="A31" s="2">
        <v>26</v>
      </c>
      <c r="B31" s="2" t="s">
        <v>143</v>
      </c>
      <c r="C31" s="2">
        <v>14</v>
      </c>
      <c r="D31" s="2" t="s">
        <v>272</v>
      </c>
      <c r="E31" s="2">
        <f>LEFT(inei_project[[#This Row],[Cantidad]],FIND(" ",inei_project[[#This Row],[Cantidad]]))*inei_project[[#This Row],[Precio UN]]</f>
        <v>42</v>
      </c>
      <c r="F31" s="8" t="str">
        <f>IF(inei_project[[#This Row],[Precio Final]]&gt;40,"CG","PC")</f>
        <v>CG</v>
      </c>
      <c r="G31" s="1"/>
      <c r="H31" s="32">
        <v>54</v>
      </c>
      <c r="I31" s="1" t="str">
        <f>IFERROR(INDEX(inei_project[product_name],MATCH(H31,inei_project[id],0)),"Ingrese ID valido")</f>
        <v>Ingrese ID valido</v>
      </c>
      <c r="J31" s="1" t="str">
        <f>IFERROR(INDEX(inei_project[Precio Final],MATCH(H31,inei_project[id],0)),"Ingrese ID valido")</f>
        <v>Ingrese ID valido</v>
      </c>
      <c r="K31" s="1"/>
      <c r="L31" s="1"/>
      <c r="M31" s="1"/>
      <c r="N31" s="1"/>
      <c r="O31" s="1"/>
      <c r="P31" s="1"/>
      <c r="Q31" s="1"/>
      <c r="R31" s="1"/>
      <c r="S31" s="1"/>
      <c r="T31" s="1"/>
    </row>
    <row r="32" spans="1:21" x14ac:dyDescent="0.25">
      <c r="A32" s="2">
        <v>27</v>
      </c>
      <c r="B32" s="2" t="s">
        <v>102</v>
      </c>
      <c r="C32" s="2">
        <v>9</v>
      </c>
      <c r="D32" s="2" t="s">
        <v>263</v>
      </c>
      <c r="E32" s="2">
        <f>LEFT(inei_project[[#This Row],[Cantidad]],FIND(" ",inei_project[[#This Row],[Cantidad]]))*inei_project[[#This Row],[Precio UN]]</f>
        <v>108</v>
      </c>
      <c r="F32" s="8" t="str">
        <f>IF(inei_project[[#This Row],[Precio Final]]&gt;40,"CG","PC")</f>
        <v>CG</v>
      </c>
      <c r="G32" s="1"/>
      <c r="H32" s="32">
        <v>98</v>
      </c>
      <c r="I32" s="1" t="str">
        <f>IFERROR(INDEX(inei_project[product_name],MATCH(H32,inei_project[id],0)),"Ingrese ID valido")</f>
        <v>Ingrese ID valido</v>
      </c>
      <c r="J32" s="1" t="str">
        <f>IFERROR(INDEX(inei_project[Precio Final],MATCH(H32,inei_project[id],0)),"Ingrese ID valido")</f>
        <v>Ingrese ID valido</v>
      </c>
      <c r="K32" s="1"/>
      <c r="L32" s="1"/>
      <c r="M32" s="1"/>
      <c r="N32" s="1"/>
      <c r="O32" s="1"/>
      <c r="P32" s="1"/>
      <c r="Q32" s="1"/>
      <c r="R32" s="1"/>
      <c r="S32" s="1"/>
      <c r="T32" s="1"/>
    </row>
    <row r="33" spans="1:20" x14ac:dyDescent="0.25">
      <c r="A33" s="2">
        <v>28</v>
      </c>
      <c r="B33" s="2" t="s">
        <v>85</v>
      </c>
      <c r="C33" s="2">
        <v>8</v>
      </c>
      <c r="D33" s="2" t="s">
        <v>267</v>
      </c>
      <c r="E33" s="2">
        <f>LEFT(inei_project[[#This Row],[Cantidad]],FIND(" ",inei_project[[#This Row],[Cantidad]]))*inei_project[[#This Row],[Precio UN]]</f>
        <v>120</v>
      </c>
      <c r="F33" s="8" t="str">
        <f>IF(inei_project[[#This Row],[Precio Final]]&gt;40,"CG","PC")</f>
        <v>CG</v>
      </c>
      <c r="G33" s="1"/>
      <c r="H33" s="32">
        <v>126</v>
      </c>
      <c r="I33" s="1" t="str">
        <f>IFERROR(INDEX(inei_project[product_name],MATCH(H33,inei_project[id],0)),"Ingrese ID valido")</f>
        <v>Ingrese ID valido</v>
      </c>
      <c r="J33" s="1" t="str">
        <f>IFERROR(INDEX(inei_project[Precio Final],MATCH(H33,inei_project[id],0)),"Ingrese ID valido")</f>
        <v>Ingrese ID valido</v>
      </c>
      <c r="K33" s="1"/>
      <c r="L33" s="1"/>
      <c r="M33" s="1"/>
      <c r="N33" s="1"/>
      <c r="O33" s="1"/>
      <c r="P33" s="1"/>
      <c r="Q33" s="1"/>
      <c r="R33" s="1"/>
      <c r="S33" s="1"/>
      <c r="T33" s="1"/>
    </row>
    <row r="34" spans="1:20" x14ac:dyDescent="0.25">
      <c r="A34" s="2">
        <v>29</v>
      </c>
      <c r="B34" s="2" t="s">
        <v>121</v>
      </c>
      <c r="C34" s="2">
        <v>6</v>
      </c>
      <c r="D34" s="2" t="s">
        <v>270</v>
      </c>
      <c r="E34" s="2">
        <f>LEFT(inei_project[[#This Row],[Cantidad]],FIND(" ",inei_project[[#This Row],[Cantidad]]))*inei_project[[#This Row],[Precio UN]]</f>
        <v>24</v>
      </c>
      <c r="F34" s="8" t="str">
        <f>IF(inei_project[[#This Row],[Precio Final]]&gt;40,"CG","PC")</f>
        <v>PC</v>
      </c>
      <c r="G34" s="1"/>
      <c r="H34" s="33">
        <v>0</v>
      </c>
      <c r="I34" s="7" t="str">
        <f>IFERROR(INDEX(inei_project[product_name],MATCH(H34,inei_project[id],0)),"Ingrese ID valido")</f>
        <v>Ingrese ID valido</v>
      </c>
      <c r="J34" s="7" t="str">
        <f>IFERROR(INDEX(inei_project[Precio Final],MATCH(H34,inei_project[id],0)),"Ingrese ID valido")</f>
        <v>Ingrese ID valido</v>
      </c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x14ac:dyDescent="0.25">
      <c r="A35" s="2">
        <v>30</v>
      </c>
      <c r="B35" s="2" t="s">
        <v>145</v>
      </c>
      <c r="C35" s="2">
        <v>12</v>
      </c>
      <c r="D35" s="2" t="s">
        <v>270</v>
      </c>
      <c r="E35" s="2">
        <f>LEFT(inei_project[[#This Row],[Cantidad]],FIND(" ",inei_project[[#This Row],[Cantidad]]))*inei_project[[#This Row],[Precio UN]]</f>
        <v>48</v>
      </c>
      <c r="F35" s="8" t="str">
        <f>IF(inei_project[[#This Row],[Precio Final]]&gt;40,"CG","PC")</f>
        <v>CG</v>
      </c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6" spans="1:20" x14ac:dyDescent="0.25">
      <c r="A36" s="2">
        <v>31</v>
      </c>
      <c r="B36" s="2" t="s">
        <v>141</v>
      </c>
      <c r="C36" s="2">
        <v>10</v>
      </c>
      <c r="D36" s="2" t="s">
        <v>271</v>
      </c>
      <c r="E36" s="2">
        <f>LEFT(inei_project[[#This Row],[Cantidad]],FIND(" ",inei_project[[#This Row],[Cantidad]]))*inei_project[[#This Row],[Precio UN]]</f>
        <v>50</v>
      </c>
      <c r="F36" s="8" t="str">
        <f>IF(inei_project[[#This Row],[Precio Final]]&gt;40,"CG","PC")</f>
        <v>CG</v>
      </c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</row>
    <row r="37" spans="1:20" x14ac:dyDescent="0.25">
      <c r="A37" s="2">
        <v>32</v>
      </c>
      <c r="B37" s="2" t="s">
        <v>43</v>
      </c>
      <c r="C37" s="2">
        <v>8</v>
      </c>
      <c r="D37" s="2" t="s">
        <v>257</v>
      </c>
      <c r="E37" s="2">
        <f>LEFT(inei_project[[#This Row],[Cantidad]],FIND(" ",inei_project[[#This Row],[Cantidad]]))*inei_project[[#This Row],[Precio UN]]</f>
        <v>120</v>
      </c>
      <c r="F37" s="8" t="str">
        <f>IF(inei_project[[#This Row],[Precio Final]]&gt;40,"CG","PC")</f>
        <v>CG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</row>
    <row r="38" spans="1:20" x14ac:dyDescent="0.25">
      <c r="A38" s="2">
        <v>33</v>
      </c>
      <c r="B38" s="2" t="s">
        <v>96</v>
      </c>
      <c r="C38" s="2">
        <v>2</v>
      </c>
      <c r="D38" s="2" t="s">
        <v>257</v>
      </c>
      <c r="E38" s="2">
        <f>LEFT(inei_project[[#This Row],[Cantidad]],FIND(" ",inei_project[[#This Row],[Cantidad]]))*inei_project[[#This Row],[Precio UN]]</f>
        <v>30</v>
      </c>
      <c r="F38" s="8" t="str">
        <f>IF(inei_project[[#This Row],[Precio Final]]&gt;40,"CG","PC")</f>
        <v>PC</v>
      </c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</row>
    <row r="39" spans="1:20" x14ac:dyDescent="0.25">
      <c r="A39" s="2">
        <v>34</v>
      </c>
      <c r="B39" s="2" t="s">
        <v>127</v>
      </c>
      <c r="C39" s="2">
        <v>8</v>
      </c>
      <c r="D39" s="2" t="s">
        <v>271</v>
      </c>
      <c r="E39" s="2">
        <f>LEFT(inei_project[[#This Row],[Cantidad]],FIND(" ",inei_project[[#This Row],[Cantidad]]))*inei_project[[#This Row],[Precio UN]]</f>
        <v>40</v>
      </c>
      <c r="F39" s="8" t="str">
        <f>IF(inei_project[[#This Row],[Precio Final]]&gt;40,"CG","PC")</f>
        <v>PC</v>
      </c>
    </row>
    <row r="40" spans="1:20" x14ac:dyDescent="0.25">
      <c r="A40" s="6"/>
      <c r="B40" s="6"/>
      <c r="C40" s="6"/>
      <c r="D40" s="6"/>
      <c r="E40" s="6"/>
      <c r="F40" s="6"/>
    </row>
    <row r="41" spans="1:20" x14ac:dyDescent="0.25">
      <c r="A41" s="6"/>
      <c r="B41" s="6"/>
      <c r="C41" s="6"/>
      <c r="D41" s="6"/>
      <c r="E41" s="6"/>
      <c r="F41" s="6"/>
    </row>
    <row r="42" spans="1:20" x14ac:dyDescent="0.25">
      <c r="A42" s="6"/>
      <c r="B42" s="6"/>
      <c r="C42" s="6"/>
      <c r="D42" s="6"/>
      <c r="E42" s="6"/>
      <c r="F42" s="6"/>
    </row>
    <row r="43" spans="1:20" x14ac:dyDescent="0.25">
      <c r="A43" s="6"/>
      <c r="B43" s="6"/>
      <c r="C43" s="6"/>
      <c r="D43" s="6"/>
      <c r="E43" s="6"/>
      <c r="F43" s="6"/>
    </row>
    <row r="44" spans="1:20" x14ac:dyDescent="0.25">
      <c r="A44" s="6"/>
      <c r="B44" s="6"/>
      <c r="C44" s="6"/>
      <c r="D44" s="6"/>
      <c r="E44" s="6"/>
      <c r="F44" s="6"/>
    </row>
    <row r="45" spans="1:20" x14ac:dyDescent="0.25">
      <c r="A45" s="6"/>
      <c r="B45" s="6"/>
      <c r="C45" s="6"/>
      <c r="D45" s="6"/>
      <c r="E45" s="6"/>
      <c r="F45" s="6"/>
    </row>
  </sheetData>
  <dataConsolidate/>
  <phoneticPr fontId="1" type="noConversion"/>
  <conditionalFormatting sqref="H21:J21">
    <cfRule type="expression" dxfId="42" priority="4">
      <formula>$U$14=TRUE</formula>
    </cfRule>
  </conditionalFormatting>
  <conditionalFormatting sqref="H27:J27">
    <cfRule type="expression" dxfId="41" priority="2">
      <formula>$U$20=TRUE</formula>
    </cfRule>
  </conditionalFormatting>
  <conditionalFormatting sqref="H10:K10">
    <cfRule type="expression" dxfId="40" priority="1">
      <formula>$U$14=TRUE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10</xdr:col>
                    <xdr:colOff>85725</xdr:colOff>
                    <xdr:row>19</xdr:row>
                    <xdr:rowOff>171450</xdr:rowOff>
                  </from>
                  <to>
                    <xdr:col>10</xdr:col>
                    <xdr:colOff>466725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10</xdr:col>
                    <xdr:colOff>114300</xdr:colOff>
                    <xdr:row>25</xdr:row>
                    <xdr:rowOff>133350</xdr:rowOff>
                  </from>
                  <to>
                    <xdr:col>10</xdr:col>
                    <xdr:colOff>419100</xdr:colOff>
                    <xdr:row>26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B9015-85DE-4B60-AE2D-A664360B3606}">
  <sheetPr codeName="Hoja2"/>
  <dimension ref="A1:M1001"/>
  <sheetViews>
    <sheetView showGridLines="0" zoomScale="115" zoomScaleNormal="115" workbookViewId="0">
      <selection activeCell="F20" sqref="F20"/>
    </sheetView>
  </sheetViews>
  <sheetFormatPr defaultColWidth="11.42578125" defaultRowHeight="15" x14ac:dyDescent="0.25"/>
  <cols>
    <col min="1" max="1" width="7" bestFit="1" customWidth="1"/>
    <col min="2" max="2" width="29.28515625" bestFit="1" customWidth="1"/>
    <col min="3" max="3" width="35.7109375" bestFit="1" customWidth="1"/>
    <col min="4" max="4" width="14.28515625" bestFit="1" customWidth="1"/>
    <col min="5" max="5" width="7.140625" customWidth="1"/>
    <col min="6" max="6" width="40" bestFit="1" customWidth="1"/>
    <col min="7" max="7" width="20.42578125" bestFit="1" customWidth="1"/>
    <col min="8" max="8" width="13" bestFit="1" customWidth="1"/>
  </cols>
  <sheetData>
    <row r="1" spans="1:13" x14ac:dyDescent="0.25">
      <c r="A1" s="10" t="s">
        <v>283</v>
      </c>
      <c r="B1" s="10" t="s">
        <v>284</v>
      </c>
      <c r="C1" s="10" t="s">
        <v>0</v>
      </c>
      <c r="D1" s="10" t="s">
        <v>285</v>
      </c>
      <c r="E1" s="6"/>
      <c r="F1" s="15"/>
      <c r="G1" s="14"/>
      <c r="H1" s="6"/>
      <c r="I1" s="6"/>
      <c r="J1" s="6"/>
      <c r="K1" s="6"/>
      <c r="L1" s="6"/>
      <c r="M1" s="6"/>
    </row>
    <row r="2" spans="1:13" x14ac:dyDescent="0.25">
      <c r="A2" s="9">
        <v>1</v>
      </c>
      <c r="B2" s="9" t="s">
        <v>287</v>
      </c>
      <c r="C2" s="9" t="s">
        <v>1</v>
      </c>
      <c r="D2" s="9">
        <v>2</v>
      </c>
      <c r="E2" s="6"/>
      <c r="F2" s="6"/>
      <c r="G2" s="6"/>
      <c r="H2" s="6"/>
      <c r="I2" s="6"/>
      <c r="J2" s="6"/>
      <c r="K2" s="6"/>
      <c r="L2" s="6"/>
      <c r="M2" s="6"/>
    </row>
    <row r="3" spans="1:13" x14ac:dyDescent="0.25">
      <c r="A3" s="9">
        <v>1</v>
      </c>
      <c r="B3" s="9" t="s">
        <v>299</v>
      </c>
      <c r="C3" s="9" t="s">
        <v>1</v>
      </c>
      <c r="D3" s="9">
        <v>2</v>
      </c>
      <c r="E3" s="6"/>
      <c r="F3" s="6"/>
      <c r="G3" s="6"/>
      <c r="H3" s="6"/>
      <c r="I3" s="6"/>
      <c r="J3" s="6"/>
      <c r="K3" s="6"/>
      <c r="L3" s="6"/>
      <c r="M3" s="6"/>
    </row>
    <row r="4" spans="1:13" x14ac:dyDescent="0.25">
      <c r="A4" s="9">
        <v>1</v>
      </c>
      <c r="B4" s="9" t="s">
        <v>313</v>
      </c>
      <c r="C4" s="9" t="s">
        <v>1</v>
      </c>
      <c r="D4" s="9">
        <v>2</v>
      </c>
      <c r="E4" s="6"/>
      <c r="F4" s="6"/>
      <c r="G4" s="6"/>
      <c r="H4" s="6"/>
      <c r="I4" s="6"/>
      <c r="J4" s="6"/>
      <c r="K4" s="6"/>
      <c r="L4" s="6"/>
      <c r="M4" s="6"/>
    </row>
    <row r="5" spans="1:13" x14ac:dyDescent="0.25">
      <c r="A5" s="9">
        <v>1</v>
      </c>
      <c r="B5" s="9" t="s">
        <v>325</v>
      </c>
      <c r="C5" s="9" t="s">
        <v>1</v>
      </c>
      <c r="D5" s="9">
        <v>2</v>
      </c>
      <c r="E5" s="6"/>
      <c r="F5" s="16" t="s">
        <v>587</v>
      </c>
      <c r="G5" s="16" t="s">
        <v>585</v>
      </c>
      <c r="H5" s="6"/>
      <c r="I5" s="6"/>
      <c r="J5" s="6"/>
      <c r="K5" s="6"/>
      <c r="L5" s="6"/>
      <c r="M5" s="6"/>
    </row>
    <row r="6" spans="1:13" x14ac:dyDescent="0.25">
      <c r="A6" s="9">
        <v>1</v>
      </c>
      <c r="B6" s="9" t="s">
        <v>343</v>
      </c>
      <c r="C6" s="9" t="s">
        <v>1</v>
      </c>
      <c r="D6" s="9">
        <v>2</v>
      </c>
      <c r="E6" s="6"/>
      <c r="F6" s="17" t="s">
        <v>321</v>
      </c>
      <c r="G6" s="23">
        <v>18</v>
      </c>
      <c r="H6" s="6"/>
      <c r="I6" s="6"/>
      <c r="J6" s="6"/>
      <c r="K6" s="6"/>
      <c r="L6" s="6"/>
      <c r="M6" s="6"/>
    </row>
    <row r="7" spans="1:13" x14ac:dyDescent="0.25">
      <c r="A7" s="9">
        <v>1</v>
      </c>
      <c r="B7" s="9" t="s">
        <v>356</v>
      </c>
      <c r="C7" s="9" t="s">
        <v>1</v>
      </c>
      <c r="D7" s="9">
        <v>2</v>
      </c>
      <c r="E7" s="6"/>
      <c r="F7" s="18" t="s">
        <v>3</v>
      </c>
      <c r="G7" s="24">
        <v>3</v>
      </c>
      <c r="H7" s="6"/>
      <c r="I7" s="6"/>
      <c r="J7" s="6"/>
      <c r="K7" s="6"/>
      <c r="L7" s="6"/>
      <c r="M7" s="6"/>
    </row>
    <row r="8" spans="1:13" x14ac:dyDescent="0.25">
      <c r="A8" s="9">
        <v>1</v>
      </c>
      <c r="B8" s="9" t="s">
        <v>369</v>
      </c>
      <c r="C8" s="9" t="s">
        <v>1</v>
      </c>
      <c r="D8" s="9">
        <v>2</v>
      </c>
      <c r="E8" s="6"/>
      <c r="F8" s="20" t="s">
        <v>4</v>
      </c>
      <c r="G8" s="24">
        <v>10</v>
      </c>
      <c r="H8" s="6"/>
      <c r="I8" s="6"/>
      <c r="J8" s="6"/>
      <c r="K8" s="6"/>
      <c r="L8" s="6"/>
      <c r="M8" s="6"/>
    </row>
    <row r="9" spans="1:13" x14ac:dyDescent="0.25">
      <c r="A9" s="9">
        <v>1</v>
      </c>
      <c r="B9" s="9" t="s">
        <v>379</v>
      </c>
      <c r="C9" s="9" t="s">
        <v>1</v>
      </c>
      <c r="D9" s="9">
        <v>2</v>
      </c>
      <c r="E9" s="6"/>
      <c r="F9" s="20" t="s">
        <v>1</v>
      </c>
      <c r="G9" s="24">
        <v>2</v>
      </c>
      <c r="H9" s="6"/>
      <c r="I9" s="6"/>
      <c r="J9" s="6"/>
      <c r="K9" s="6"/>
      <c r="L9" s="6"/>
      <c r="M9" s="6"/>
    </row>
    <row r="10" spans="1:13" x14ac:dyDescent="0.25">
      <c r="A10" s="9">
        <v>1</v>
      </c>
      <c r="B10" s="9" t="s">
        <v>391</v>
      </c>
      <c r="C10" s="9" t="s">
        <v>1</v>
      </c>
      <c r="D10" s="9">
        <v>2</v>
      </c>
      <c r="E10" s="6"/>
      <c r="F10" s="19" t="s">
        <v>2</v>
      </c>
      <c r="G10" s="24">
        <v>3</v>
      </c>
      <c r="H10" s="6"/>
      <c r="I10" s="6"/>
      <c r="J10" s="6"/>
      <c r="K10" s="6"/>
      <c r="L10" s="6"/>
      <c r="M10" s="6"/>
    </row>
    <row r="11" spans="1:13" x14ac:dyDescent="0.25">
      <c r="A11" s="9">
        <v>1</v>
      </c>
      <c r="B11" s="9" t="s">
        <v>310</v>
      </c>
      <c r="C11" s="9" t="s">
        <v>1</v>
      </c>
      <c r="D11" s="9">
        <v>2</v>
      </c>
      <c r="E11" s="6"/>
      <c r="F11" s="17" t="s">
        <v>588</v>
      </c>
      <c r="G11" s="25">
        <v>18</v>
      </c>
      <c r="H11" s="6"/>
      <c r="I11" s="11"/>
      <c r="J11" s="6"/>
      <c r="K11" s="6"/>
      <c r="L11" s="6"/>
      <c r="M11" s="6"/>
    </row>
    <row r="12" spans="1:13" x14ac:dyDescent="0.25">
      <c r="A12" s="9">
        <v>1</v>
      </c>
      <c r="B12" s="9" t="s">
        <v>415</v>
      </c>
      <c r="C12" s="9" t="s">
        <v>1</v>
      </c>
      <c r="D12" s="9">
        <v>2</v>
      </c>
      <c r="E12" s="6"/>
      <c r="F12" s="12"/>
      <c r="G12" s="13"/>
      <c r="H12" s="6"/>
      <c r="I12" s="11"/>
      <c r="J12" s="6"/>
      <c r="K12" s="6"/>
      <c r="L12" s="6"/>
      <c r="M12" s="6"/>
    </row>
    <row r="13" spans="1:13" x14ac:dyDescent="0.25">
      <c r="A13" s="9">
        <v>1</v>
      </c>
      <c r="B13" s="9" t="s">
        <v>427</v>
      </c>
      <c r="C13" s="9" t="s">
        <v>1</v>
      </c>
      <c r="D13" s="9">
        <v>2</v>
      </c>
      <c r="E13" s="6"/>
      <c r="F13" s="6"/>
      <c r="G13" s="6"/>
      <c r="H13" s="6"/>
      <c r="I13" s="11"/>
      <c r="J13" s="6"/>
      <c r="K13" s="6"/>
      <c r="L13" s="6"/>
      <c r="M13" s="6"/>
    </row>
    <row r="14" spans="1:13" x14ac:dyDescent="0.25">
      <c r="A14" s="9">
        <v>1</v>
      </c>
      <c r="B14" s="9" t="s">
        <v>439</v>
      </c>
      <c r="C14" s="9" t="s">
        <v>1</v>
      </c>
      <c r="D14" s="9">
        <v>2</v>
      </c>
      <c r="E14" s="6"/>
      <c r="F14" s="6"/>
      <c r="G14" s="6"/>
      <c r="H14" s="6"/>
      <c r="I14" s="11"/>
      <c r="J14" s="6"/>
      <c r="K14" s="6"/>
      <c r="L14" s="6"/>
      <c r="M14" s="6"/>
    </row>
    <row r="15" spans="1:13" x14ac:dyDescent="0.25">
      <c r="A15" s="9">
        <v>1</v>
      </c>
      <c r="B15" s="9" t="s">
        <v>451</v>
      </c>
      <c r="C15" s="9" t="s">
        <v>1</v>
      </c>
      <c r="D15" s="9">
        <v>2</v>
      </c>
      <c r="E15" s="6"/>
      <c r="F15" s="6"/>
      <c r="G15" s="6"/>
      <c r="H15" s="6"/>
      <c r="I15" s="6"/>
      <c r="J15" s="6"/>
      <c r="K15" s="6"/>
      <c r="L15" s="6"/>
      <c r="M15" s="6"/>
    </row>
    <row r="16" spans="1:13" x14ac:dyDescent="0.25">
      <c r="A16" s="9">
        <v>1</v>
      </c>
      <c r="B16" s="9" t="s">
        <v>464</v>
      </c>
      <c r="C16" s="9" t="s">
        <v>1</v>
      </c>
      <c r="D16" s="9">
        <v>2</v>
      </c>
      <c r="E16" s="6"/>
      <c r="F16" s="6"/>
      <c r="G16" s="6"/>
      <c r="H16" s="6"/>
      <c r="I16" s="6"/>
      <c r="J16" s="6"/>
      <c r="K16" s="6"/>
      <c r="L16" s="6"/>
      <c r="M16" s="6"/>
    </row>
    <row r="17" spans="1:13" x14ac:dyDescent="0.25">
      <c r="A17" s="9">
        <v>1</v>
      </c>
      <c r="B17" s="9" t="s">
        <v>484</v>
      </c>
      <c r="C17" s="9" t="s">
        <v>1</v>
      </c>
      <c r="D17" s="9">
        <v>2</v>
      </c>
      <c r="E17" s="6"/>
      <c r="F17" s="6"/>
      <c r="G17" s="6"/>
      <c r="H17" s="6"/>
      <c r="I17" s="6"/>
      <c r="J17" s="6"/>
      <c r="K17" s="6"/>
      <c r="L17" s="6"/>
      <c r="M17" s="6"/>
    </row>
    <row r="18" spans="1:13" x14ac:dyDescent="0.25">
      <c r="A18" s="9">
        <v>1</v>
      </c>
      <c r="B18" s="9" t="s">
        <v>495</v>
      </c>
      <c r="C18" s="9" t="s">
        <v>1</v>
      </c>
      <c r="D18" s="9">
        <v>2</v>
      </c>
      <c r="E18" s="6"/>
      <c r="F18" s="6"/>
      <c r="G18" s="6"/>
      <c r="H18" s="6"/>
      <c r="I18" s="6"/>
      <c r="J18" s="6"/>
      <c r="K18" s="6"/>
      <c r="L18" s="6"/>
      <c r="M18" s="6"/>
    </row>
    <row r="19" spans="1:13" x14ac:dyDescent="0.25">
      <c r="A19" s="9">
        <v>1</v>
      </c>
      <c r="B19" s="9" t="s">
        <v>507</v>
      </c>
      <c r="C19" s="9" t="s">
        <v>1</v>
      </c>
      <c r="D19" s="9">
        <v>2</v>
      </c>
      <c r="E19" s="6"/>
      <c r="F19" s="5" t="s">
        <v>0</v>
      </c>
      <c r="G19" s="5" t="s">
        <v>276</v>
      </c>
      <c r="H19" s="6"/>
      <c r="I19" s="6"/>
      <c r="J19" s="6"/>
      <c r="K19" s="6"/>
      <c r="L19" s="6"/>
      <c r="M19" s="6"/>
    </row>
    <row r="20" spans="1:13" x14ac:dyDescent="0.25">
      <c r="A20" s="9">
        <v>1</v>
      </c>
      <c r="B20" s="9" t="s">
        <v>519</v>
      </c>
      <c r="C20" s="9" t="s">
        <v>1</v>
      </c>
      <c r="D20" s="9">
        <v>2</v>
      </c>
      <c r="E20" s="6"/>
      <c r="F20" s="21" t="s">
        <v>4</v>
      </c>
      <c r="G20" s="21">
        <f>COUNTIF(Tabla3[product_name],F20)</f>
        <v>91</v>
      </c>
      <c r="H20" s="6"/>
      <c r="I20" s="6"/>
      <c r="J20" s="6"/>
      <c r="K20" s="6"/>
      <c r="L20" s="6"/>
      <c r="M20" s="6"/>
    </row>
    <row r="21" spans="1:13" x14ac:dyDescent="0.25">
      <c r="A21" s="9">
        <v>1</v>
      </c>
      <c r="B21" s="9" t="s">
        <v>530</v>
      </c>
      <c r="C21" s="9" t="s">
        <v>1</v>
      </c>
      <c r="D21" s="9">
        <v>2</v>
      </c>
      <c r="E21" s="6"/>
      <c r="F21" s="6"/>
      <c r="G21" s="6"/>
      <c r="H21" s="6"/>
      <c r="I21" s="6"/>
      <c r="J21" s="6"/>
      <c r="K21" s="6"/>
      <c r="L21" s="6"/>
      <c r="M21" s="6"/>
    </row>
    <row r="22" spans="1:13" x14ac:dyDescent="0.25">
      <c r="A22" s="9">
        <v>1</v>
      </c>
      <c r="B22" s="9" t="s">
        <v>542</v>
      </c>
      <c r="C22" s="9" t="s">
        <v>1</v>
      </c>
      <c r="D22" s="9">
        <v>2</v>
      </c>
      <c r="E22" s="6"/>
      <c r="F22" s="6"/>
      <c r="G22" s="6"/>
      <c r="H22" s="6"/>
      <c r="I22" s="6"/>
      <c r="J22" s="6"/>
      <c r="K22" s="6"/>
      <c r="L22" s="6"/>
      <c r="M22" s="6"/>
    </row>
    <row r="23" spans="1:13" x14ac:dyDescent="0.25">
      <c r="A23" s="9">
        <v>1</v>
      </c>
      <c r="B23" s="9" t="s">
        <v>556</v>
      </c>
      <c r="C23" s="9" t="s">
        <v>1</v>
      </c>
      <c r="D23" s="9">
        <v>2</v>
      </c>
      <c r="E23" s="6"/>
      <c r="F23" s="6"/>
      <c r="G23" s="6"/>
      <c r="H23" s="6"/>
      <c r="I23" s="6"/>
      <c r="J23" s="6"/>
      <c r="K23" s="6"/>
      <c r="L23" s="6"/>
      <c r="M23" s="6"/>
    </row>
    <row r="24" spans="1:13" x14ac:dyDescent="0.25">
      <c r="A24" s="9">
        <v>1</v>
      </c>
      <c r="B24" s="9" t="s">
        <v>359</v>
      </c>
      <c r="C24" s="9" t="s">
        <v>1</v>
      </c>
      <c r="D24" s="9">
        <v>2</v>
      </c>
      <c r="E24" s="6"/>
      <c r="F24" s="6"/>
      <c r="G24" s="6"/>
      <c r="H24" s="6"/>
      <c r="I24" s="6"/>
      <c r="J24" s="6"/>
      <c r="K24" s="6"/>
      <c r="L24" s="6"/>
      <c r="M24" s="6"/>
    </row>
    <row r="25" spans="1:13" x14ac:dyDescent="0.25">
      <c r="A25" s="9">
        <v>1</v>
      </c>
      <c r="B25" s="9" t="s">
        <v>577</v>
      </c>
      <c r="C25" s="9" t="s">
        <v>1</v>
      </c>
      <c r="D25" s="9">
        <v>2</v>
      </c>
      <c r="E25" s="6"/>
      <c r="F25" s="5" t="s">
        <v>586</v>
      </c>
      <c r="G25" s="6"/>
      <c r="H25" s="6"/>
      <c r="I25" s="6"/>
      <c r="J25" s="6"/>
      <c r="K25" s="6"/>
      <c r="L25" s="6"/>
      <c r="M25" s="6"/>
    </row>
    <row r="26" spans="1:13" x14ac:dyDescent="0.25">
      <c r="A26" s="9">
        <v>1</v>
      </c>
      <c r="B26" s="9" t="s">
        <v>289</v>
      </c>
      <c r="C26" s="9" t="s">
        <v>2</v>
      </c>
      <c r="D26" s="9">
        <v>3</v>
      </c>
      <c r="E26" s="6"/>
      <c r="F26" s="6" t="str">
        <f>CONCATENATE(B2," ","tiene"," ",D2," ","ventas")</f>
        <v>Huacrachuco tiene 2 ventas</v>
      </c>
      <c r="G26" s="6"/>
      <c r="H26" s="6"/>
      <c r="I26" s="6"/>
      <c r="J26" s="6"/>
      <c r="K26" s="6"/>
      <c r="L26" s="6"/>
      <c r="M26" s="6"/>
    </row>
    <row r="27" spans="1:13" x14ac:dyDescent="0.25">
      <c r="A27" s="9">
        <v>1</v>
      </c>
      <c r="B27" s="9" t="s">
        <v>301</v>
      </c>
      <c r="C27" s="9" t="s">
        <v>2</v>
      </c>
      <c r="D27" s="9">
        <v>3</v>
      </c>
      <c r="E27" s="6"/>
      <c r="F27" s="6" t="str">
        <f t="shared" ref="F27:F30" si="0">CONCATENATE(B3," ","tiene"," ",D3," ","ventas")</f>
        <v>Huachocolpa tiene 2 ventas</v>
      </c>
      <c r="G27" s="6"/>
      <c r="H27" s="6"/>
      <c r="I27" s="6"/>
      <c r="J27" s="6"/>
      <c r="K27" s="6"/>
      <c r="L27" s="6"/>
      <c r="M27" s="6"/>
    </row>
    <row r="28" spans="1:13" x14ac:dyDescent="0.25">
      <c r="A28" s="9">
        <v>2</v>
      </c>
      <c r="B28" s="9" t="s">
        <v>295</v>
      </c>
      <c r="C28" s="9" t="s">
        <v>1</v>
      </c>
      <c r="D28" s="9">
        <v>2</v>
      </c>
      <c r="E28" s="6"/>
      <c r="F28" s="6" t="str">
        <f t="shared" si="0"/>
        <v>San Felipe tiene 2 ventas</v>
      </c>
      <c r="G28" s="6"/>
      <c r="H28" s="6"/>
      <c r="I28" s="6"/>
      <c r="J28" s="6"/>
      <c r="K28" s="6"/>
      <c r="L28" s="6"/>
      <c r="M28" s="6"/>
    </row>
    <row r="29" spans="1:13" x14ac:dyDescent="0.25">
      <c r="A29" s="9">
        <v>2</v>
      </c>
      <c r="B29" s="9" t="s">
        <v>307</v>
      </c>
      <c r="C29" s="9" t="s">
        <v>1</v>
      </c>
      <c r="D29" s="9">
        <v>2</v>
      </c>
      <c r="E29" s="6"/>
      <c r="F29" s="6" t="str">
        <f t="shared" si="0"/>
        <v>Huambalpa tiene 2 ventas</v>
      </c>
      <c r="G29" s="6"/>
      <c r="H29" s="6"/>
      <c r="I29" s="6"/>
      <c r="J29" s="6"/>
      <c r="K29" s="6"/>
      <c r="L29" s="6"/>
      <c r="M29" s="6"/>
    </row>
    <row r="30" spans="1:13" x14ac:dyDescent="0.25">
      <c r="A30" s="9">
        <v>2</v>
      </c>
      <c r="B30" s="9" t="s">
        <v>319</v>
      </c>
      <c r="C30" s="9" t="s">
        <v>1</v>
      </c>
      <c r="D30" s="9">
        <v>2</v>
      </c>
      <c r="E30" s="6"/>
      <c r="F30" s="6" t="str">
        <f t="shared" si="0"/>
        <v>Jose Luis Bustamante y Rivero tiene 2 ventas</v>
      </c>
      <c r="G30" s="6"/>
      <c r="H30" s="6"/>
      <c r="I30" s="6"/>
      <c r="J30" s="6"/>
      <c r="K30" s="6"/>
      <c r="L30" s="6"/>
      <c r="M30" s="6"/>
    </row>
    <row r="31" spans="1:13" x14ac:dyDescent="0.25">
      <c r="A31" s="9">
        <v>2</v>
      </c>
      <c r="B31" s="9" t="s">
        <v>328</v>
      </c>
      <c r="C31" s="9" t="s">
        <v>1</v>
      </c>
      <c r="D31" s="9">
        <v>2</v>
      </c>
      <c r="E31" s="6"/>
      <c r="F31" s="6"/>
      <c r="G31" s="6"/>
      <c r="H31" s="6"/>
      <c r="I31" s="6"/>
      <c r="J31" s="6"/>
      <c r="K31" s="6"/>
      <c r="L31" s="6"/>
      <c r="M31" s="6"/>
    </row>
    <row r="32" spans="1:13" x14ac:dyDescent="0.25">
      <c r="A32" s="9">
        <v>2</v>
      </c>
      <c r="B32" s="9" t="s">
        <v>341</v>
      </c>
      <c r="C32" s="9" t="s">
        <v>1</v>
      </c>
      <c r="D32" s="9">
        <v>2</v>
      </c>
      <c r="E32" s="6"/>
      <c r="F32" s="6"/>
      <c r="G32" s="6"/>
      <c r="H32" s="6"/>
      <c r="I32" s="6"/>
      <c r="J32" s="6"/>
      <c r="K32" s="6"/>
      <c r="L32" s="6"/>
      <c r="M32" s="6"/>
    </row>
    <row r="33" spans="1:4" x14ac:dyDescent="0.25">
      <c r="A33" s="9">
        <v>2</v>
      </c>
      <c r="B33" s="9" t="s">
        <v>351</v>
      </c>
      <c r="C33" s="9" t="s">
        <v>1</v>
      </c>
      <c r="D33" s="9">
        <v>2</v>
      </c>
    </row>
    <row r="34" spans="1:4" x14ac:dyDescent="0.25">
      <c r="A34" s="9">
        <v>2</v>
      </c>
      <c r="B34" s="9" t="s">
        <v>362</v>
      </c>
      <c r="C34" s="9" t="s">
        <v>1</v>
      </c>
      <c r="D34" s="9">
        <v>2</v>
      </c>
    </row>
    <row r="35" spans="1:4" x14ac:dyDescent="0.25">
      <c r="A35" s="9">
        <v>2</v>
      </c>
      <c r="B35" s="9" t="s">
        <v>373</v>
      </c>
      <c r="C35" s="9" t="s">
        <v>1</v>
      </c>
      <c r="D35" s="9">
        <v>2</v>
      </c>
    </row>
    <row r="36" spans="1:4" x14ac:dyDescent="0.25">
      <c r="A36" s="9">
        <v>2</v>
      </c>
      <c r="B36" s="9" t="s">
        <v>387</v>
      </c>
      <c r="C36" s="9" t="s">
        <v>1</v>
      </c>
      <c r="D36" s="9">
        <v>2</v>
      </c>
    </row>
    <row r="37" spans="1:4" x14ac:dyDescent="0.25">
      <c r="A37" s="9">
        <v>2</v>
      </c>
      <c r="B37" s="9" t="s">
        <v>400</v>
      </c>
      <c r="C37" s="9" t="s">
        <v>1</v>
      </c>
      <c r="D37" s="9">
        <v>2</v>
      </c>
    </row>
    <row r="38" spans="1:4" x14ac:dyDescent="0.25">
      <c r="A38" s="9">
        <v>2</v>
      </c>
      <c r="B38" s="9" t="s">
        <v>413</v>
      </c>
      <c r="C38" s="9" t="s">
        <v>1</v>
      </c>
      <c r="D38" s="9">
        <v>2</v>
      </c>
    </row>
    <row r="39" spans="1:4" x14ac:dyDescent="0.25">
      <c r="A39" s="9">
        <v>2</v>
      </c>
      <c r="B39" s="9" t="s">
        <v>424</v>
      </c>
      <c r="C39" s="9" t="s">
        <v>1</v>
      </c>
      <c r="D39" s="9">
        <v>2</v>
      </c>
    </row>
    <row r="40" spans="1:4" x14ac:dyDescent="0.25">
      <c r="A40" s="9">
        <v>2</v>
      </c>
      <c r="B40" s="9" t="s">
        <v>435</v>
      </c>
      <c r="C40" s="9" t="s">
        <v>1</v>
      </c>
      <c r="D40" s="9">
        <v>2</v>
      </c>
    </row>
    <row r="41" spans="1:4" x14ac:dyDescent="0.25">
      <c r="A41" s="9">
        <v>2</v>
      </c>
      <c r="B41" s="9" t="s">
        <v>449</v>
      </c>
      <c r="C41" s="9" t="s">
        <v>1</v>
      </c>
      <c r="D41" s="9">
        <v>2</v>
      </c>
    </row>
    <row r="42" spans="1:4" x14ac:dyDescent="0.25">
      <c r="A42" s="9">
        <v>2</v>
      </c>
      <c r="B42" s="9" t="s">
        <v>460</v>
      </c>
      <c r="C42" s="9" t="s">
        <v>1</v>
      </c>
      <c r="D42" s="9">
        <v>2</v>
      </c>
    </row>
    <row r="43" spans="1:4" x14ac:dyDescent="0.25">
      <c r="A43" s="9">
        <v>2</v>
      </c>
      <c r="B43" s="9" t="s">
        <v>472</v>
      </c>
      <c r="C43" s="9" t="s">
        <v>1</v>
      </c>
      <c r="D43" s="9">
        <v>2</v>
      </c>
    </row>
    <row r="44" spans="1:4" x14ac:dyDescent="0.25">
      <c r="A44" s="9">
        <v>2</v>
      </c>
      <c r="B44" s="9" t="s">
        <v>482</v>
      </c>
      <c r="C44" s="9" t="s">
        <v>1</v>
      </c>
      <c r="D44" s="9">
        <v>2</v>
      </c>
    </row>
    <row r="45" spans="1:4" x14ac:dyDescent="0.25">
      <c r="A45" s="9">
        <v>2</v>
      </c>
      <c r="B45" s="9" t="s">
        <v>493</v>
      </c>
      <c r="C45" s="9" t="s">
        <v>1</v>
      </c>
      <c r="D45" s="9">
        <v>2</v>
      </c>
    </row>
    <row r="46" spans="1:4" x14ac:dyDescent="0.25">
      <c r="A46" s="9">
        <v>2</v>
      </c>
      <c r="B46" s="9" t="s">
        <v>504</v>
      </c>
      <c r="C46" s="9" t="s">
        <v>1</v>
      </c>
      <c r="D46" s="9">
        <v>2</v>
      </c>
    </row>
    <row r="47" spans="1:4" x14ac:dyDescent="0.25">
      <c r="A47" s="9">
        <v>2</v>
      </c>
      <c r="B47" s="9" t="s">
        <v>516</v>
      </c>
      <c r="C47" s="9" t="s">
        <v>1</v>
      </c>
      <c r="D47" s="9">
        <v>2</v>
      </c>
    </row>
    <row r="48" spans="1:4" x14ac:dyDescent="0.25">
      <c r="A48" s="9">
        <v>2</v>
      </c>
      <c r="B48" s="9" t="s">
        <v>528</v>
      </c>
      <c r="C48" s="9" t="s">
        <v>1</v>
      </c>
      <c r="D48" s="9">
        <v>2</v>
      </c>
    </row>
    <row r="49" spans="1:4" x14ac:dyDescent="0.25">
      <c r="A49" s="9">
        <v>2</v>
      </c>
      <c r="B49" s="9" t="s">
        <v>539</v>
      </c>
      <c r="C49" s="9" t="s">
        <v>1</v>
      </c>
      <c r="D49" s="9">
        <v>2</v>
      </c>
    </row>
    <row r="50" spans="1:4" x14ac:dyDescent="0.25">
      <c r="A50" s="9">
        <v>2</v>
      </c>
      <c r="B50" s="9" t="s">
        <v>550</v>
      </c>
      <c r="C50" s="9" t="s">
        <v>1</v>
      </c>
      <c r="D50" s="9">
        <v>2</v>
      </c>
    </row>
    <row r="51" spans="1:4" x14ac:dyDescent="0.25">
      <c r="A51" s="9">
        <v>2</v>
      </c>
      <c r="B51" s="9" t="s">
        <v>560</v>
      </c>
      <c r="C51" s="9" t="s">
        <v>1</v>
      </c>
      <c r="D51" s="9">
        <v>2</v>
      </c>
    </row>
    <row r="52" spans="1:4" x14ac:dyDescent="0.25">
      <c r="A52" s="9">
        <v>2</v>
      </c>
      <c r="B52" s="9" t="s">
        <v>573</v>
      </c>
      <c r="C52" s="9" t="s">
        <v>1</v>
      </c>
      <c r="D52" s="9">
        <v>2</v>
      </c>
    </row>
    <row r="53" spans="1:4" x14ac:dyDescent="0.25">
      <c r="A53" s="9">
        <v>2</v>
      </c>
      <c r="B53" s="9" t="s">
        <v>583</v>
      </c>
      <c r="C53" s="9" t="s">
        <v>1</v>
      </c>
      <c r="D53" s="9">
        <v>2</v>
      </c>
    </row>
    <row r="54" spans="1:4" x14ac:dyDescent="0.25">
      <c r="A54" s="9">
        <v>2</v>
      </c>
      <c r="B54" s="9" t="s">
        <v>297</v>
      </c>
      <c r="C54" s="9" t="s">
        <v>2</v>
      </c>
      <c r="D54" s="9">
        <v>3</v>
      </c>
    </row>
    <row r="55" spans="1:4" x14ac:dyDescent="0.25">
      <c r="A55" s="9">
        <v>2</v>
      </c>
      <c r="B55" s="9" t="s">
        <v>307</v>
      </c>
      <c r="C55" s="9" t="s">
        <v>2</v>
      </c>
      <c r="D55" s="9">
        <v>3</v>
      </c>
    </row>
    <row r="56" spans="1:4" x14ac:dyDescent="0.25">
      <c r="A56" s="9">
        <v>3</v>
      </c>
      <c r="B56" s="9" t="s">
        <v>288</v>
      </c>
      <c r="C56" s="9" t="s">
        <v>1</v>
      </c>
      <c r="D56" s="9">
        <v>2</v>
      </c>
    </row>
    <row r="57" spans="1:4" x14ac:dyDescent="0.25">
      <c r="A57" s="9">
        <v>3</v>
      </c>
      <c r="B57" s="9" t="s">
        <v>304</v>
      </c>
      <c r="C57" s="9" t="s">
        <v>1</v>
      </c>
      <c r="D57" s="9">
        <v>2</v>
      </c>
    </row>
    <row r="58" spans="1:4" x14ac:dyDescent="0.25">
      <c r="A58" s="9">
        <v>3</v>
      </c>
      <c r="B58" s="9" t="s">
        <v>318</v>
      </c>
      <c r="C58" s="9" t="s">
        <v>1</v>
      </c>
      <c r="D58" s="9">
        <v>2</v>
      </c>
    </row>
    <row r="59" spans="1:4" x14ac:dyDescent="0.25">
      <c r="A59" s="9">
        <v>3</v>
      </c>
      <c r="B59" s="9" t="s">
        <v>324</v>
      </c>
      <c r="C59" s="9" t="s">
        <v>1</v>
      </c>
      <c r="D59" s="9">
        <v>2</v>
      </c>
    </row>
    <row r="60" spans="1:4" x14ac:dyDescent="0.25">
      <c r="A60" s="9">
        <v>3</v>
      </c>
      <c r="B60" s="9" t="s">
        <v>335</v>
      </c>
      <c r="C60" s="9" t="s">
        <v>1</v>
      </c>
      <c r="D60" s="9">
        <v>2</v>
      </c>
    </row>
    <row r="61" spans="1:4" x14ac:dyDescent="0.25">
      <c r="A61" s="9">
        <v>3</v>
      </c>
      <c r="B61" s="9" t="s">
        <v>346</v>
      </c>
      <c r="C61" s="9" t="s">
        <v>1</v>
      </c>
      <c r="D61" s="9">
        <v>2</v>
      </c>
    </row>
    <row r="62" spans="1:4" x14ac:dyDescent="0.25">
      <c r="A62" s="9">
        <v>3</v>
      </c>
      <c r="B62" s="9" t="s">
        <v>360</v>
      </c>
      <c r="C62" s="9" t="s">
        <v>1</v>
      </c>
      <c r="D62" s="9">
        <v>2</v>
      </c>
    </row>
    <row r="63" spans="1:4" x14ac:dyDescent="0.25">
      <c r="A63" s="9">
        <v>3</v>
      </c>
      <c r="B63" s="9" t="s">
        <v>375</v>
      </c>
      <c r="C63" s="9" t="s">
        <v>1</v>
      </c>
      <c r="D63" s="9">
        <v>2</v>
      </c>
    </row>
    <row r="64" spans="1:4" x14ac:dyDescent="0.25">
      <c r="A64" s="9">
        <v>3</v>
      </c>
      <c r="B64" s="9" t="s">
        <v>385</v>
      </c>
      <c r="C64" s="9" t="s">
        <v>1</v>
      </c>
      <c r="D64" s="9">
        <v>2</v>
      </c>
    </row>
    <row r="65" spans="1:4" x14ac:dyDescent="0.25">
      <c r="A65" s="9">
        <v>3</v>
      </c>
      <c r="B65" s="9" t="s">
        <v>395</v>
      </c>
      <c r="C65" s="9" t="s">
        <v>1</v>
      </c>
      <c r="D65" s="9">
        <v>2</v>
      </c>
    </row>
    <row r="66" spans="1:4" x14ac:dyDescent="0.25">
      <c r="A66" s="9">
        <v>3</v>
      </c>
      <c r="B66" s="9" t="s">
        <v>407</v>
      </c>
      <c r="C66" s="9" t="s">
        <v>1</v>
      </c>
      <c r="D66" s="9">
        <v>2</v>
      </c>
    </row>
    <row r="67" spans="1:4" x14ac:dyDescent="0.25">
      <c r="A67" s="9">
        <v>3</v>
      </c>
      <c r="B67" s="9" t="s">
        <v>422</v>
      </c>
      <c r="C67" s="9" t="s">
        <v>1</v>
      </c>
      <c r="D67" s="9">
        <v>2</v>
      </c>
    </row>
    <row r="68" spans="1:4" x14ac:dyDescent="0.25">
      <c r="A68" s="9">
        <v>3</v>
      </c>
      <c r="B68" s="9" t="s">
        <v>433</v>
      </c>
      <c r="C68" s="9" t="s">
        <v>1</v>
      </c>
      <c r="D68" s="9">
        <v>2</v>
      </c>
    </row>
    <row r="69" spans="1:4" x14ac:dyDescent="0.25">
      <c r="A69" s="9">
        <v>3</v>
      </c>
      <c r="B69" s="9" t="s">
        <v>445</v>
      </c>
      <c r="C69" s="9" t="s">
        <v>1</v>
      </c>
      <c r="D69" s="9">
        <v>2</v>
      </c>
    </row>
    <row r="70" spans="1:4" x14ac:dyDescent="0.25">
      <c r="A70" s="9">
        <v>3</v>
      </c>
      <c r="B70" s="9" t="s">
        <v>458</v>
      </c>
      <c r="C70" s="9" t="s">
        <v>1</v>
      </c>
      <c r="D70" s="9">
        <v>2</v>
      </c>
    </row>
    <row r="71" spans="1:4" x14ac:dyDescent="0.25">
      <c r="A71" s="9">
        <v>3</v>
      </c>
      <c r="B71" s="9" t="s">
        <v>469</v>
      </c>
      <c r="C71" s="9" t="s">
        <v>1</v>
      </c>
      <c r="D71" s="9">
        <v>2</v>
      </c>
    </row>
    <row r="72" spans="1:4" x14ac:dyDescent="0.25">
      <c r="A72" s="9">
        <v>3</v>
      </c>
      <c r="B72" s="9" t="s">
        <v>480</v>
      </c>
      <c r="C72" s="9" t="s">
        <v>1</v>
      </c>
      <c r="D72" s="9">
        <v>2</v>
      </c>
    </row>
    <row r="73" spans="1:4" x14ac:dyDescent="0.25">
      <c r="A73" s="9">
        <v>3</v>
      </c>
      <c r="B73" s="9" t="s">
        <v>329</v>
      </c>
      <c r="C73" s="9" t="s">
        <v>1</v>
      </c>
      <c r="D73" s="9">
        <v>2</v>
      </c>
    </row>
    <row r="74" spans="1:4" x14ac:dyDescent="0.25">
      <c r="A74" s="9">
        <v>3</v>
      </c>
      <c r="B74" s="9" t="s">
        <v>500</v>
      </c>
      <c r="C74" s="9" t="s">
        <v>1</v>
      </c>
      <c r="D74" s="9">
        <v>2</v>
      </c>
    </row>
    <row r="75" spans="1:4" x14ac:dyDescent="0.25">
      <c r="A75" s="9">
        <v>3</v>
      </c>
      <c r="B75" s="9" t="s">
        <v>512</v>
      </c>
      <c r="C75" s="9" t="s">
        <v>1</v>
      </c>
      <c r="D75" s="9">
        <v>2</v>
      </c>
    </row>
    <row r="76" spans="1:4" x14ac:dyDescent="0.25">
      <c r="A76" s="9">
        <v>3</v>
      </c>
      <c r="B76" s="9" t="s">
        <v>524</v>
      </c>
      <c r="C76" s="9" t="s">
        <v>1</v>
      </c>
      <c r="D76" s="9">
        <v>2</v>
      </c>
    </row>
    <row r="77" spans="1:4" x14ac:dyDescent="0.25">
      <c r="A77" s="9">
        <v>3</v>
      </c>
      <c r="B77" s="9" t="s">
        <v>535</v>
      </c>
      <c r="C77" s="9" t="s">
        <v>1</v>
      </c>
      <c r="D77" s="9">
        <v>2</v>
      </c>
    </row>
    <row r="78" spans="1:4" x14ac:dyDescent="0.25">
      <c r="A78" s="9">
        <v>3</v>
      </c>
      <c r="B78" s="9" t="s">
        <v>547</v>
      </c>
      <c r="C78" s="9" t="s">
        <v>1</v>
      </c>
      <c r="D78" s="9">
        <v>2</v>
      </c>
    </row>
    <row r="79" spans="1:4" x14ac:dyDescent="0.25">
      <c r="A79" s="9">
        <v>3</v>
      </c>
      <c r="B79" s="9" t="s">
        <v>562</v>
      </c>
      <c r="C79" s="9" t="s">
        <v>1</v>
      </c>
      <c r="D79" s="9">
        <v>2</v>
      </c>
    </row>
    <row r="80" spans="1:4" x14ac:dyDescent="0.25">
      <c r="A80" s="9">
        <v>3</v>
      </c>
      <c r="B80" s="9" t="s">
        <v>570</v>
      </c>
      <c r="C80" s="9" t="s">
        <v>1</v>
      </c>
      <c r="D80" s="9">
        <v>2</v>
      </c>
    </row>
    <row r="81" spans="1:4" x14ac:dyDescent="0.25">
      <c r="A81" s="9">
        <v>3</v>
      </c>
      <c r="B81" s="9" t="s">
        <v>581</v>
      </c>
      <c r="C81" s="9" t="s">
        <v>1</v>
      </c>
      <c r="D81" s="9">
        <v>2</v>
      </c>
    </row>
    <row r="82" spans="1:4" x14ac:dyDescent="0.25">
      <c r="A82" s="9">
        <v>3</v>
      </c>
      <c r="B82" s="9" t="s">
        <v>293</v>
      </c>
      <c r="C82" s="9" t="s">
        <v>2</v>
      </c>
      <c r="D82" s="9">
        <v>3</v>
      </c>
    </row>
    <row r="83" spans="1:4" x14ac:dyDescent="0.25">
      <c r="A83" s="9">
        <v>3</v>
      </c>
      <c r="B83" s="9" t="s">
        <v>304</v>
      </c>
      <c r="C83" s="9" t="s">
        <v>2</v>
      </c>
      <c r="D83" s="9">
        <v>3</v>
      </c>
    </row>
    <row r="84" spans="1:4" x14ac:dyDescent="0.25">
      <c r="A84" s="9">
        <v>4</v>
      </c>
      <c r="B84" s="9" t="s">
        <v>291</v>
      </c>
      <c r="C84" s="9" t="s">
        <v>1</v>
      </c>
      <c r="D84" s="9">
        <v>2</v>
      </c>
    </row>
    <row r="85" spans="1:4" x14ac:dyDescent="0.25">
      <c r="A85" s="9">
        <v>4</v>
      </c>
      <c r="B85" s="9" t="s">
        <v>303</v>
      </c>
      <c r="C85" s="9" t="s">
        <v>1</v>
      </c>
      <c r="D85" s="9">
        <v>2</v>
      </c>
    </row>
    <row r="86" spans="1:4" x14ac:dyDescent="0.25">
      <c r="A86" s="9">
        <v>4</v>
      </c>
      <c r="B86" s="9" t="s">
        <v>316</v>
      </c>
      <c r="C86" s="9" t="s">
        <v>1</v>
      </c>
      <c r="D86" s="9">
        <v>2</v>
      </c>
    </row>
    <row r="87" spans="1:4" x14ac:dyDescent="0.25">
      <c r="A87" s="9">
        <v>4</v>
      </c>
      <c r="B87" s="9" t="s">
        <v>330</v>
      </c>
      <c r="C87" s="9" t="s">
        <v>1</v>
      </c>
      <c r="D87" s="9">
        <v>2</v>
      </c>
    </row>
    <row r="88" spans="1:4" x14ac:dyDescent="0.25">
      <c r="A88" s="9">
        <v>4</v>
      </c>
      <c r="B88" s="9" t="s">
        <v>339</v>
      </c>
      <c r="C88" s="9" t="s">
        <v>1</v>
      </c>
      <c r="D88" s="9">
        <v>2</v>
      </c>
    </row>
    <row r="89" spans="1:4" x14ac:dyDescent="0.25">
      <c r="A89" s="9">
        <v>4</v>
      </c>
      <c r="B89" s="9" t="s">
        <v>353</v>
      </c>
      <c r="C89" s="9" t="s">
        <v>1</v>
      </c>
      <c r="D89" s="9">
        <v>2</v>
      </c>
    </row>
    <row r="90" spans="1:4" x14ac:dyDescent="0.25">
      <c r="A90" s="9">
        <v>4</v>
      </c>
      <c r="B90" s="9" t="s">
        <v>366</v>
      </c>
      <c r="C90" s="9" t="s">
        <v>1</v>
      </c>
      <c r="D90" s="9">
        <v>2</v>
      </c>
    </row>
    <row r="91" spans="1:4" x14ac:dyDescent="0.25">
      <c r="A91" s="9">
        <v>4</v>
      </c>
      <c r="B91" s="9" t="s">
        <v>377</v>
      </c>
      <c r="C91" s="9" t="s">
        <v>1</v>
      </c>
      <c r="D91" s="9">
        <v>2</v>
      </c>
    </row>
    <row r="92" spans="1:4" x14ac:dyDescent="0.25">
      <c r="A92" s="9">
        <v>4</v>
      </c>
      <c r="B92" s="9" t="s">
        <v>389</v>
      </c>
      <c r="C92" s="9" t="s">
        <v>1</v>
      </c>
      <c r="D92" s="9">
        <v>2</v>
      </c>
    </row>
    <row r="93" spans="1:4" x14ac:dyDescent="0.25">
      <c r="A93" s="9">
        <v>4</v>
      </c>
      <c r="B93" s="9" t="s">
        <v>402</v>
      </c>
      <c r="C93" s="9" t="s">
        <v>1</v>
      </c>
      <c r="D93" s="9">
        <v>2</v>
      </c>
    </row>
    <row r="94" spans="1:4" x14ac:dyDescent="0.25">
      <c r="A94" s="9">
        <v>4</v>
      </c>
      <c r="B94" s="9" t="s">
        <v>412</v>
      </c>
      <c r="C94" s="9" t="s">
        <v>1</v>
      </c>
      <c r="D94" s="9">
        <v>2</v>
      </c>
    </row>
    <row r="95" spans="1:4" x14ac:dyDescent="0.25">
      <c r="A95" s="9">
        <v>4</v>
      </c>
      <c r="B95" s="9" t="s">
        <v>421</v>
      </c>
      <c r="C95" s="9" t="s">
        <v>1</v>
      </c>
      <c r="D95" s="9">
        <v>2</v>
      </c>
    </row>
    <row r="96" spans="1:4" x14ac:dyDescent="0.25">
      <c r="A96" s="9">
        <v>4</v>
      </c>
      <c r="B96" s="9" t="s">
        <v>432</v>
      </c>
      <c r="C96" s="9" t="s">
        <v>1</v>
      </c>
      <c r="D96" s="9">
        <v>2</v>
      </c>
    </row>
    <row r="97" spans="1:4" x14ac:dyDescent="0.25">
      <c r="A97" s="9">
        <v>4</v>
      </c>
      <c r="B97" s="9" t="s">
        <v>444</v>
      </c>
      <c r="C97" s="9" t="s">
        <v>1</v>
      </c>
      <c r="D97" s="9">
        <v>2</v>
      </c>
    </row>
    <row r="98" spans="1:4" x14ac:dyDescent="0.25">
      <c r="A98" s="9">
        <v>4</v>
      </c>
      <c r="B98" s="9" t="s">
        <v>454</v>
      </c>
      <c r="C98" s="9" t="s">
        <v>1</v>
      </c>
      <c r="D98" s="9">
        <v>2</v>
      </c>
    </row>
    <row r="99" spans="1:4" x14ac:dyDescent="0.25">
      <c r="A99" s="9">
        <v>4</v>
      </c>
      <c r="B99" s="9" t="s">
        <v>465</v>
      </c>
      <c r="C99" s="9" t="s">
        <v>1</v>
      </c>
      <c r="D99" s="9">
        <v>2</v>
      </c>
    </row>
    <row r="100" spans="1:4" x14ac:dyDescent="0.25">
      <c r="A100" s="9">
        <v>4</v>
      </c>
      <c r="B100" s="9" t="s">
        <v>478</v>
      </c>
      <c r="C100" s="9" t="s">
        <v>1</v>
      </c>
      <c r="D100" s="9">
        <v>2</v>
      </c>
    </row>
    <row r="101" spans="1:4" x14ac:dyDescent="0.25">
      <c r="A101" s="9">
        <v>4</v>
      </c>
      <c r="B101" s="9" t="s">
        <v>491</v>
      </c>
      <c r="C101" s="9" t="s">
        <v>1</v>
      </c>
      <c r="D101" s="9">
        <v>2</v>
      </c>
    </row>
    <row r="102" spans="1:4" x14ac:dyDescent="0.25">
      <c r="A102" s="9">
        <v>4</v>
      </c>
      <c r="B102" s="9" t="s">
        <v>505</v>
      </c>
      <c r="C102" s="9" t="s">
        <v>1</v>
      </c>
      <c r="D102" s="9">
        <v>2</v>
      </c>
    </row>
    <row r="103" spans="1:4" x14ac:dyDescent="0.25">
      <c r="A103" s="9">
        <v>4</v>
      </c>
      <c r="B103" s="9" t="s">
        <v>514</v>
      </c>
      <c r="C103" s="9" t="s">
        <v>1</v>
      </c>
      <c r="D103" s="9">
        <v>2</v>
      </c>
    </row>
    <row r="104" spans="1:4" x14ac:dyDescent="0.25">
      <c r="A104" s="9">
        <v>4</v>
      </c>
      <c r="B104" s="9" t="s">
        <v>526</v>
      </c>
      <c r="C104" s="9" t="s">
        <v>1</v>
      </c>
      <c r="D104" s="9">
        <v>2</v>
      </c>
    </row>
    <row r="105" spans="1:4" x14ac:dyDescent="0.25">
      <c r="A105" s="9">
        <v>4</v>
      </c>
      <c r="B105" s="9" t="s">
        <v>537</v>
      </c>
      <c r="C105" s="9" t="s">
        <v>1</v>
      </c>
      <c r="D105" s="9">
        <v>2</v>
      </c>
    </row>
    <row r="106" spans="1:4" x14ac:dyDescent="0.25">
      <c r="A106" s="9">
        <v>4</v>
      </c>
      <c r="B106" s="9" t="s">
        <v>548</v>
      </c>
      <c r="C106" s="9" t="s">
        <v>1</v>
      </c>
      <c r="D106" s="9">
        <v>2</v>
      </c>
    </row>
    <row r="107" spans="1:4" x14ac:dyDescent="0.25">
      <c r="A107" s="9">
        <v>4</v>
      </c>
      <c r="B107" s="9" t="s">
        <v>559</v>
      </c>
      <c r="C107" s="9" t="s">
        <v>1</v>
      </c>
      <c r="D107" s="9">
        <v>2</v>
      </c>
    </row>
    <row r="108" spans="1:4" x14ac:dyDescent="0.25">
      <c r="A108" s="9">
        <v>4</v>
      </c>
      <c r="B108" s="9" t="s">
        <v>572</v>
      </c>
      <c r="C108" s="9" t="s">
        <v>1</v>
      </c>
      <c r="D108" s="9">
        <v>2</v>
      </c>
    </row>
    <row r="109" spans="1:4" x14ac:dyDescent="0.25">
      <c r="A109" s="9">
        <v>4</v>
      </c>
      <c r="B109" s="9" t="s">
        <v>582</v>
      </c>
      <c r="C109" s="9" t="s">
        <v>1</v>
      </c>
      <c r="D109" s="9">
        <v>2</v>
      </c>
    </row>
    <row r="110" spans="1:4" x14ac:dyDescent="0.25">
      <c r="A110" s="9">
        <v>4</v>
      </c>
      <c r="B110" s="9" t="s">
        <v>295</v>
      </c>
      <c r="C110" s="9" t="s">
        <v>2</v>
      </c>
      <c r="D110" s="9">
        <v>3</v>
      </c>
    </row>
    <row r="111" spans="1:4" x14ac:dyDescent="0.25">
      <c r="A111" s="9">
        <v>4</v>
      </c>
      <c r="B111" s="9" t="s">
        <v>306</v>
      </c>
      <c r="C111" s="9" t="s">
        <v>2</v>
      </c>
      <c r="D111" s="9">
        <v>3</v>
      </c>
    </row>
    <row r="112" spans="1:4" x14ac:dyDescent="0.25">
      <c r="A112" s="9">
        <v>5</v>
      </c>
      <c r="B112" s="9" t="s">
        <v>290</v>
      </c>
      <c r="C112" s="9" t="s">
        <v>1</v>
      </c>
      <c r="D112" s="9">
        <v>2</v>
      </c>
    </row>
    <row r="113" spans="1:4" x14ac:dyDescent="0.25">
      <c r="A113" s="9">
        <v>5</v>
      </c>
      <c r="B113" s="9" t="s">
        <v>301</v>
      </c>
      <c r="C113" s="9" t="s">
        <v>1</v>
      </c>
      <c r="D113" s="9">
        <v>2</v>
      </c>
    </row>
    <row r="114" spans="1:4" x14ac:dyDescent="0.25">
      <c r="A114" s="9">
        <v>5</v>
      </c>
      <c r="B114" s="9" t="s">
        <v>320</v>
      </c>
      <c r="C114" s="9" t="s">
        <v>1</v>
      </c>
      <c r="D114" s="9">
        <v>2</v>
      </c>
    </row>
    <row r="115" spans="1:4" x14ac:dyDescent="0.25">
      <c r="A115" s="9">
        <v>5</v>
      </c>
      <c r="B115" s="9" t="s">
        <v>333</v>
      </c>
      <c r="C115" s="9" t="s">
        <v>1</v>
      </c>
      <c r="D115" s="9">
        <v>2</v>
      </c>
    </row>
    <row r="116" spans="1:4" x14ac:dyDescent="0.25">
      <c r="A116" s="9">
        <v>5</v>
      </c>
      <c r="B116" s="9" t="s">
        <v>349</v>
      </c>
      <c r="C116" s="9" t="s">
        <v>1</v>
      </c>
      <c r="D116" s="9">
        <v>2</v>
      </c>
    </row>
    <row r="117" spans="1:4" x14ac:dyDescent="0.25">
      <c r="A117" s="9">
        <v>5</v>
      </c>
      <c r="B117" s="9" t="s">
        <v>359</v>
      </c>
      <c r="C117" s="9" t="s">
        <v>1</v>
      </c>
      <c r="D117" s="9">
        <v>2</v>
      </c>
    </row>
    <row r="118" spans="1:4" x14ac:dyDescent="0.25">
      <c r="A118" s="9">
        <v>5</v>
      </c>
      <c r="B118" s="9" t="s">
        <v>372</v>
      </c>
      <c r="C118" s="9" t="s">
        <v>1</v>
      </c>
      <c r="D118" s="9">
        <v>2</v>
      </c>
    </row>
    <row r="119" spans="1:4" x14ac:dyDescent="0.25">
      <c r="A119" s="9">
        <v>5</v>
      </c>
      <c r="B119" s="9" t="s">
        <v>384</v>
      </c>
      <c r="C119" s="9" t="s">
        <v>1</v>
      </c>
      <c r="D119" s="9">
        <v>2</v>
      </c>
    </row>
    <row r="120" spans="1:4" x14ac:dyDescent="0.25">
      <c r="A120" s="9">
        <v>5</v>
      </c>
      <c r="B120" s="9" t="s">
        <v>398</v>
      </c>
      <c r="C120" s="9" t="s">
        <v>1</v>
      </c>
      <c r="D120" s="9">
        <v>2</v>
      </c>
    </row>
    <row r="121" spans="1:4" x14ac:dyDescent="0.25">
      <c r="A121" s="9">
        <v>5</v>
      </c>
      <c r="B121" s="9" t="s">
        <v>409</v>
      </c>
      <c r="C121" s="9" t="s">
        <v>1</v>
      </c>
      <c r="D121" s="9">
        <v>2</v>
      </c>
    </row>
    <row r="122" spans="1:4" x14ac:dyDescent="0.25">
      <c r="A122" s="9">
        <v>5</v>
      </c>
      <c r="B122" s="9" t="s">
        <v>419</v>
      </c>
      <c r="C122" s="9" t="s">
        <v>1</v>
      </c>
      <c r="D122" s="9">
        <v>2</v>
      </c>
    </row>
    <row r="123" spans="1:4" x14ac:dyDescent="0.25">
      <c r="A123" s="9">
        <v>5</v>
      </c>
      <c r="B123" s="9" t="s">
        <v>431</v>
      </c>
      <c r="C123" s="9" t="s">
        <v>1</v>
      </c>
      <c r="D123" s="9">
        <v>2</v>
      </c>
    </row>
    <row r="124" spans="1:4" x14ac:dyDescent="0.25">
      <c r="A124" s="9">
        <v>5</v>
      </c>
      <c r="B124" s="9" t="s">
        <v>441</v>
      </c>
      <c r="C124" s="9" t="s">
        <v>1</v>
      </c>
      <c r="D124" s="9">
        <v>2</v>
      </c>
    </row>
    <row r="125" spans="1:4" x14ac:dyDescent="0.25">
      <c r="A125" s="9">
        <v>5</v>
      </c>
      <c r="B125" s="9" t="s">
        <v>456</v>
      </c>
      <c r="C125" s="9" t="s">
        <v>1</v>
      </c>
      <c r="D125" s="9">
        <v>2</v>
      </c>
    </row>
    <row r="126" spans="1:4" x14ac:dyDescent="0.25">
      <c r="A126" s="9">
        <v>5</v>
      </c>
      <c r="B126" s="9" t="s">
        <v>468</v>
      </c>
      <c r="C126" s="9" t="s">
        <v>1</v>
      </c>
      <c r="D126" s="9">
        <v>2</v>
      </c>
    </row>
    <row r="127" spans="1:4" x14ac:dyDescent="0.25">
      <c r="A127" s="9">
        <v>5</v>
      </c>
      <c r="B127" s="9" t="s">
        <v>477</v>
      </c>
      <c r="C127" s="9" t="s">
        <v>1</v>
      </c>
      <c r="D127" s="9">
        <v>2</v>
      </c>
    </row>
    <row r="128" spans="1:4" x14ac:dyDescent="0.25">
      <c r="A128" s="9">
        <v>5</v>
      </c>
      <c r="B128" s="9" t="s">
        <v>489</v>
      </c>
      <c r="C128" s="9" t="s">
        <v>1</v>
      </c>
      <c r="D128" s="9">
        <v>2</v>
      </c>
    </row>
    <row r="129" spans="1:4" x14ac:dyDescent="0.25">
      <c r="A129" s="9">
        <v>5</v>
      </c>
      <c r="B129" s="9" t="s">
        <v>499</v>
      </c>
      <c r="C129" s="9" t="s">
        <v>1</v>
      </c>
      <c r="D129" s="9">
        <v>2</v>
      </c>
    </row>
    <row r="130" spans="1:4" x14ac:dyDescent="0.25">
      <c r="A130" s="9">
        <v>5</v>
      </c>
      <c r="B130" s="9" t="s">
        <v>510</v>
      </c>
      <c r="C130" s="9" t="s">
        <v>1</v>
      </c>
      <c r="D130" s="9">
        <v>2</v>
      </c>
    </row>
    <row r="131" spans="1:4" x14ac:dyDescent="0.25">
      <c r="A131" s="9">
        <v>5</v>
      </c>
      <c r="B131" s="9" t="s">
        <v>522</v>
      </c>
      <c r="C131" s="9" t="s">
        <v>1</v>
      </c>
      <c r="D131" s="9">
        <v>2</v>
      </c>
    </row>
    <row r="132" spans="1:4" x14ac:dyDescent="0.25">
      <c r="A132" s="9">
        <v>5</v>
      </c>
      <c r="B132" s="9" t="s">
        <v>534</v>
      </c>
      <c r="C132" s="9" t="s">
        <v>1</v>
      </c>
      <c r="D132" s="9">
        <v>2</v>
      </c>
    </row>
    <row r="133" spans="1:4" x14ac:dyDescent="0.25">
      <c r="A133" s="9">
        <v>5</v>
      </c>
      <c r="B133" s="9" t="s">
        <v>544</v>
      </c>
      <c r="C133" s="9" t="s">
        <v>1</v>
      </c>
      <c r="D133" s="9">
        <v>2</v>
      </c>
    </row>
    <row r="134" spans="1:4" x14ac:dyDescent="0.25">
      <c r="A134" s="9">
        <v>5</v>
      </c>
      <c r="B134" s="9" t="s">
        <v>555</v>
      </c>
      <c r="C134" s="9" t="s">
        <v>1</v>
      </c>
      <c r="D134" s="9">
        <v>2</v>
      </c>
    </row>
    <row r="135" spans="1:4" x14ac:dyDescent="0.25">
      <c r="A135" s="9">
        <v>5</v>
      </c>
      <c r="B135" s="9" t="s">
        <v>568</v>
      </c>
      <c r="C135" s="9" t="s">
        <v>1</v>
      </c>
      <c r="D135" s="9">
        <v>2</v>
      </c>
    </row>
    <row r="136" spans="1:4" x14ac:dyDescent="0.25">
      <c r="A136" s="9">
        <v>5</v>
      </c>
      <c r="B136" s="9" t="s">
        <v>578</v>
      </c>
      <c r="C136" s="9" t="s">
        <v>1</v>
      </c>
      <c r="D136" s="9">
        <v>2</v>
      </c>
    </row>
    <row r="137" spans="1:4" x14ac:dyDescent="0.25">
      <c r="A137" s="9">
        <v>5</v>
      </c>
      <c r="B137" s="9" t="s">
        <v>291</v>
      </c>
      <c r="C137" s="9" t="s">
        <v>2</v>
      </c>
      <c r="D137" s="9">
        <v>3</v>
      </c>
    </row>
    <row r="138" spans="1:4" x14ac:dyDescent="0.25">
      <c r="A138" s="9">
        <v>5</v>
      </c>
      <c r="B138" s="9" t="s">
        <v>303</v>
      </c>
      <c r="C138" s="9" t="s">
        <v>2</v>
      </c>
      <c r="D138" s="9">
        <v>3</v>
      </c>
    </row>
    <row r="139" spans="1:4" x14ac:dyDescent="0.25">
      <c r="A139" s="9">
        <v>6</v>
      </c>
      <c r="B139" s="9" t="s">
        <v>296</v>
      </c>
      <c r="C139" s="9" t="s">
        <v>1</v>
      </c>
      <c r="D139" s="9">
        <v>2</v>
      </c>
    </row>
    <row r="140" spans="1:4" x14ac:dyDescent="0.25">
      <c r="A140" s="9">
        <v>6</v>
      </c>
      <c r="B140" s="9" t="s">
        <v>305</v>
      </c>
      <c r="C140" s="9" t="s">
        <v>1</v>
      </c>
      <c r="D140" s="9">
        <v>2</v>
      </c>
    </row>
    <row r="141" spans="1:4" x14ac:dyDescent="0.25">
      <c r="A141" s="9">
        <v>6</v>
      </c>
      <c r="B141" s="9" t="s">
        <v>314</v>
      </c>
      <c r="C141" s="9" t="s">
        <v>1</v>
      </c>
      <c r="D141" s="9">
        <v>2</v>
      </c>
    </row>
    <row r="142" spans="1:4" x14ac:dyDescent="0.25">
      <c r="A142" s="9">
        <v>6</v>
      </c>
      <c r="B142" s="9" t="s">
        <v>327</v>
      </c>
      <c r="C142" s="9" t="s">
        <v>1</v>
      </c>
      <c r="D142" s="9">
        <v>2</v>
      </c>
    </row>
    <row r="143" spans="1:4" x14ac:dyDescent="0.25">
      <c r="A143" s="9">
        <v>6</v>
      </c>
      <c r="B143" s="9" t="s">
        <v>340</v>
      </c>
      <c r="C143" s="9" t="s">
        <v>1</v>
      </c>
      <c r="D143" s="9">
        <v>2</v>
      </c>
    </row>
    <row r="144" spans="1:4" x14ac:dyDescent="0.25">
      <c r="A144" s="9">
        <v>6</v>
      </c>
      <c r="B144" s="9" t="s">
        <v>352</v>
      </c>
      <c r="C144" s="9" t="s">
        <v>1</v>
      </c>
      <c r="D144" s="9">
        <v>2</v>
      </c>
    </row>
    <row r="145" spans="1:4" x14ac:dyDescent="0.25">
      <c r="A145" s="9">
        <v>6</v>
      </c>
      <c r="B145" s="9" t="s">
        <v>364</v>
      </c>
      <c r="C145" s="9" t="s">
        <v>1</v>
      </c>
      <c r="D145" s="9">
        <v>2</v>
      </c>
    </row>
    <row r="146" spans="1:4" x14ac:dyDescent="0.25">
      <c r="A146" s="9">
        <v>6</v>
      </c>
      <c r="B146" s="9" t="s">
        <v>374</v>
      </c>
      <c r="C146" s="9" t="s">
        <v>1</v>
      </c>
      <c r="D146" s="9">
        <v>2</v>
      </c>
    </row>
    <row r="147" spans="1:4" x14ac:dyDescent="0.25">
      <c r="A147" s="9">
        <v>6</v>
      </c>
      <c r="B147" s="9" t="s">
        <v>388</v>
      </c>
      <c r="C147" s="9" t="s">
        <v>1</v>
      </c>
      <c r="D147" s="9">
        <v>2</v>
      </c>
    </row>
    <row r="148" spans="1:4" x14ac:dyDescent="0.25">
      <c r="A148" s="9">
        <v>6</v>
      </c>
      <c r="B148" s="9" t="s">
        <v>401</v>
      </c>
      <c r="C148" s="9" t="s">
        <v>1</v>
      </c>
      <c r="D148" s="9">
        <v>2</v>
      </c>
    </row>
    <row r="149" spans="1:4" x14ac:dyDescent="0.25">
      <c r="A149" s="9">
        <v>6</v>
      </c>
      <c r="B149" s="9" t="s">
        <v>410</v>
      </c>
      <c r="C149" s="9" t="s">
        <v>1</v>
      </c>
      <c r="D149" s="9">
        <v>2</v>
      </c>
    </row>
    <row r="150" spans="1:4" x14ac:dyDescent="0.25">
      <c r="A150" s="9">
        <v>6</v>
      </c>
      <c r="B150" s="9" t="s">
        <v>425</v>
      </c>
      <c r="C150" s="9" t="s">
        <v>1</v>
      </c>
      <c r="D150" s="9">
        <v>2</v>
      </c>
    </row>
    <row r="151" spans="1:4" x14ac:dyDescent="0.25">
      <c r="A151" s="9">
        <v>6</v>
      </c>
      <c r="B151" s="9" t="s">
        <v>437</v>
      </c>
      <c r="C151" s="9" t="s">
        <v>1</v>
      </c>
      <c r="D151" s="9">
        <v>2</v>
      </c>
    </row>
    <row r="152" spans="1:4" x14ac:dyDescent="0.25">
      <c r="A152" s="9">
        <v>6</v>
      </c>
      <c r="B152" s="9" t="s">
        <v>446</v>
      </c>
      <c r="C152" s="9" t="s">
        <v>1</v>
      </c>
      <c r="D152" s="9">
        <v>2</v>
      </c>
    </row>
    <row r="153" spans="1:4" x14ac:dyDescent="0.25">
      <c r="A153" s="9">
        <v>6</v>
      </c>
      <c r="B153" s="9" t="s">
        <v>459</v>
      </c>
      <c r="C153" s="9" t="s">
        <v>1</v>
      </c>
      <c r="D153" s="9">
        <v>2</v>
      </c>
    </row>
    <row r="154" spans="1:4" x14ac:dyDescent="0.25">
      <c r="A154" s="9">
        <v>6</v>
      </c>
      <c r="B154" s="9" t="s">
        <v>471</v>
      </c>
      <c r="C154" s="9" t="s">
        <v>1</v>
      </c>
      <c r="D154" s="9">
        <v>2</v>
      </c>
    </row>
    <row r="155" spans="1:4" x14ac:dyDescent="0.25">
      <c r="A155" s="9">
        <v>6</v>
      </c>
      <c r="B155" s="9" t="s">
        <v>481</v>
      </c>
      <c r="C155" s="9" t="s">
        <v>1</v>
      </c>
      <c r="D155" s="9">
        <v>2</v>
      </c>
    </row>
    <row r="156" spans="1:4" x14ac:dyDescent="0.25">
      <c r="A156" s="9">
        <v>6</v>
      </c>
      <c r="B156" s="9" t="s">
        <v>492</v>
      </c>
      <c r="C156" s="9" t="s">
        <v>1</v>
      </c>
      <c r="D156" s="9">
        <v>2</v>
      </c>
    </row>
    <row r="157" spans="1:4" x14ac:dyDescent="0.25">
      <c r="A157" s="9">
        <v>6</v>
      </c>
      <c r="B157" s="9" t="s">
        <v>503</v>
      </c>
      <c r="C157" s="9" t="s">
        <v>1</v>
      </c>
      <c r="D157" s="9">
        <v>2</v>
      </c>
    </row>
    <row r="158" spans="1:4" x14ac:dyDescent="0.25">
      <c r="A158" s="9">
        <v>6</v>
      </c>
      <c r="B158" s="9" t="s">
        <v>515</v>
      </c>
      <c r="C158" s="9" t="s">
        <v>1</v>
      </c>
      <c r="D158" s="9">
        <v>2</v>
      </c>
    </row>
    <row r="159" spans="1:4" x14ac:dyDescent="0.25">
      <c r="A159" s="9">
        <v>6</v>
      </c>
      <c r="B159" s="9" t="s">
        <v>527</v>
      </c>
      <c r="C159" s="9" t="s">
        <v>1</v>
      </c>
      <c r="D159" s="9">
        <v>2</v>
      </c>
    </row>
    <row r="160" spans="1:4" x14ac:dyDescent="0.25">
      <c r="A160" s="9">
        <v>6</v>
      </c>
      <c r="B160" s="9" t="s">
        <v>538</v>
      </c>
      <c r="C160" s="9" t="s">
        <v>1</v>
      </c>
      <c r="D160" s="9">
        <v>2</v>
      </c>
    </row>
    <row r="161" spans="1:4" x14ac:dyDescent="0.25">
      <c r="A161" s="9">
        <v>6</v>
      </c>
      <c r="B161" s="9" t="s">
        <v>552</v>
      </c>
      <c r="C161" s="9" t="s">
        <v>1</v>
      </c>
      <c r="D161" s="9">
        <v>2</v>
      </c>
    </row>
    <row r="162" spans="1:4" x14ac:dyDescent="0.25">
      <c r="A162" s="9">
        <v>6</v>
      </c>
      <c r="B162" s="9" t="s">
        <v>563</v>
      </c>
      <c r="C162" s="9" t="s">
        <v>1</v>
      </c>
      <c r="D162" s="9">
        <v>2</v>
      </c>
    </row>
    <row r="163" spans="1:4" x14ac:dyDescent="0.25">
      <c r="A163" s="9">
        <v>6</v>
      </c>
      <c r="B163" s="9" t="s">
        <v>574</v>
      </c>
      <c r="C163" s="9" t="s">
        <v>1</v>
      </c>
      <c r="D163" s="9">
        <v>2</v>
      </c>
    </row>
    <row r="164" spans="1:4" x14ac:dyDescent="0.25">
      <c r="A164" s="9">
        <v>6</v>
      </c>
      <c r="B164" s="9" t="s">
        <v>286</v>
      </c>
      <c r="C164" s="9" t="s">
        <v>2</v>
      </c>
      <c r="D164" s="9">
        <v>3</v>
      </c>
    </row>
    <row r="165" spans="1:4" x14ac:dyDescent="0.25">
      <c r="A165" s="9">
        <v>6</v>
      </c>
      <c r="B165" s="9" t="s">
        <v>296</v>
      </c>
      <c r="C165" s="9" t="s">
        <v>2</v>
      </c>
      <c r="D165" s="9">
        <v>3</v>
      </c>
    </row>
    <row r="166" spans="1:4" x14ac:dyDescent="0.25">
      <c r="A166" s="9">
        <v>6</v>
      </c>
      <c r="B166" s="9" t="s">
        <v>308</v>
      </c>
      <c r="C166" s="9" t="s">
        <v>2</v>
      </c>
      <c r="D166" s="9">
        <v>3</v>
      </c>
    </row>
    <row r="167" spans="1:4" x14ac:dyDescent="0.25">
      <c r="A167" s="9">
        <v>7</v>
      </c>
      <c r="B167" s="9" t="s">
        <v>294</v>
      </c>
      <c r="C167" s="9" t="s">
        <v>1</v>
      </c>
      <c r="D167" s="9">
        <v>2</v>
      </c>
    </row>
    <row r="168" spans="1:4" x14ac:dyDescent="0.25">
      <c r="A168" s="9">
        <v>7</v>
      </c>
      <c r="B168" s="9" t="s">
        <v>306</v>
      </c>
      <c r="C168" s="9" t="s">
        <v>1</v>
      </c>
      <c r="D168" s="9">
        <v>2</v>
      </c>
    </row>
    <row r="169" spans="1:4" x14ac:dyDescent="0.25">
      <c r="A169" s="9">
        <v>7</v>
      </c>
      <c r="B169" s="9" t="s">
        <v>312</v>
      </c>
      <c r="C169" s="9" t="s">
        <v>1</v>
      </c>
      <c r="D169" s="9">
        <v>2</v>
      </c>
    </row>
    <row r="170" spans="1:4" x14ac:dyDescent="0.25">
      <c r="A170" s="9">
        <v>7</v>
      </c>
      <c r="B170" s="9" t="s">
        <v>326</v>
      </c>
      <c r="C170" s="9" t="s">
        <v>1</v>
      </c>
      <c r="D170" s="9">
        <v>2</v>
      </c>
    </row>
    <row r="171" spans="1:4" x14ac:dyDescent="0.25">
      <c r="A171" s="9">
        <v>7</v>
      </c>
      <c r="B171" s="9" t="s">
        <v>336</v>
      </c>
      <c r="C171" s="9" t="s">
        <v>1</v>
      </c>
      <c r="D171" s="9">
        <v>2</v>
      </c>
    </row>
    <row r="172" spans="1:4" x14ac:dyDescent="0.25">
      <c r="A172" s="9">
        <v>7</v>
      </c>
      <c r="B172" s="9" t="s">
        <v>347</v>
      </c>
      <c r="C172" s="9" t="s">
        <v>1</v>
      </c>
      <c r="D172" s="9">
        <v>2</v>
      </c>
    </row>
    <row r="173" spans="1:4" x14ac:dyDescent="0.25">
      <c r="A173" s="9">
        <v>7</v>
      </c>
      <c r="B173" s="9" t="s">
        <v>361</v>
      </c>
      <c r="C173" s="9" t="s">
        <v>1</v>
      </c>
      <c r="D173" s="9">
        <v>2</v>
      </c>
    </row>
    <row r="174" spans="1:4" x14ac:dyDescent="0.25">
      <c r="A174" s="9">
        <v>7</v>
      </c>
      <c r="B174" s="9" t="s">
        <v>371</v>
      </c>
      <c r="C174" s="9" t="s">
        <v>1</v>
      </c>
      <c r="D174" s="9">
        <v>2</v>
      </c>
    </row>
    <row r="175" spans="1:4" x14ac:dyDescent="0.25">
      <c r="A175" s="9">
        <v>7</v>
      </c>
      <c r="B175" s="9" t="s">
        <v>383</v>
      </c>
      <c r="C175" s="9" t="s">
        <v>1</v>
      </c>
      <c r="D175" s="9">
        <v>2</v>
      </c>
    </row>
    <row r="176" spans="1:4" x14ac:dyDescent="0.25">
      <c r="A176" s="9">
        <v>7</v>
      </c>
      <c r="B176" s="9" t="s">
        <v>397</v>
      </c>
      <c r="C176" s="9" t="s">
        <v>1</v>
      </c>
      <c r="D176" s="9">
        <v>2</v>
      </c>
    </row>
    <row r="177" spans="1:4" x14ac:dyDescent="0.25">
      <c r="A177" s="9">
        <v>7</v>
      </c>
      <c r="B177" s="9" t="s">
        <v>408</v>
      </c>
      <c r="C177" s="9" t="s">
        <v>1</v>
      </c>
      <c r="D177" s="9">
        <v>2</v>
      </c>
    </row>
    <row r="178" spans="1:4" x14ac:dyDescent="0.25">
      <c r="A178" s="9">
        <v>7</v>
      </c>
      <c r="B178" s="9" t="s">
        <v>418</v>
      </c>
      <c r="C178" s="9" t="s">
        <v>1</v>
      </c>
      <c r="D178" s="9">
        <v>2</v>
      </c>
    </row>
    <row r="179" spans="1:4" x14ac:dyDescent="0.25">
      <c r="A179" s="9">
        <v>7</v>
      </c>
      <c r="B179" s="9" t="s">
        <v>428</v>
      </c>
      <c r="C179" s="9" t="s">
        <v>1</v>
      </c>
      <c r="D179" s="9">
        <v>2</v>
      </c>
    </row>
    <row r="180" spans="1:4" x14ac:dyDescent="0.25">
      <c r="A180" s="9">
        <v>7</v>
      </c>
      <c r="B180" s="9" t="s">
        <v>442</v>
      </c>
      <c r="C180" s="9" t="s">
        <v>1</v>
      </c>
      <c r="D180" s="9">
        <v>2</v>
      </c>
    </row>
    <row r="181" spans="1:4" x14ac:dyDescent="0.25">
      <c r="A181" s="9">
        <v>7</v>
      </c>
      <c r="B181" s="9" t="s">
        <v>455</v>
      </c>
      <c r="C181" s="9" t="s">
        <v>1</v>
      </c>
      <c r="D181" s="9">
        <v>2</v>
      </c>
    </row>
    <row r="182" spans="1:4" x14ac:dyDescent="0.25">
      <c r="A182" s="9">
        <v>7</v>
      </c>
      <c r="B182" s="9" t="s">
        <v>467</v>
      </c>
      <c r="C182" s="9" t="s">
        <v>1</v>
      </c>
      <c r="D182" s="9">
        <v>2</v>
      </c>
    </row>
    <row r="183" spans="1:4" x14ac:dyDescent="0.25">
      <c r="A183" s="9">
        <v>7</v>
      </c>
      <c r="B183" s="9" t="s">
        <v>475</v>
      </c>
      <c r="C183" s="9" t="s">
        <v>1</v>
      </c>
      <c r="D183" s="9">
        <v>2</v>
      </c>
    </row>
    <row r="184" spans="1:4" x14ac:dyDescent="0.25">
      <c r="A184" s="9">
        <v>7</v>
      </c>
      <c r="B184" s="9" t="s">
        <v>490</v>
      </c>
      <c r="C184" s="9" t="s">
        <v>1</v>
      </c>
      <c r="D184" s="9">
        <v>2</v>
      </c>
    </row>
    <row r="185" spans="1:4" x14ac:dyDescent="0.25">
      <c r="A185" s="9">
        <v>7</v>
      </c>
      <c r="B185" s="9" t="s">
        <v>498</v>
      </c>
      <c r="C185" s="9" t="s">
        <v>1</v>
      </c>
      <c r="D185" s="9">
        <v>2</v>
      </c>
    </row>
    <row r="186" spans="1:4" x14ac:dyDescent="0.25">
      <c r="A186" s="9">
        <v>7</v>
      </c>
      <c r="B186" s="9" t="s">
        <v>511</v>
      </c>
      <c r="C186" s="9" t="s">
        <v>1</v>
      </c>
      <c r="D186" s="9">
        <v>2</v>
      </c>
    </row>
    <row r="187" spans="1:4" x14ac:dyDescent="0.25">
      <c r="A187" s="9">
        <v>7</v>
      </c>
      <c r="B187" s="9" t="s">
        <v>523</v>
      </c>
      <c r="C187" s="9" t="s">
        <v>1</v>
      </c>
      <c r="D187" s="9">
        <v>2</v>
      </c>
    </row>
    <row r="188" spans="1:4" x14ac:dyDescent="0.25">
      <c r="A188" s="9">
        <v>7</v>
      </c>
      <c r="B188" s="9" t="s">
        <v>533</v>
      </c>
      <c r="C188" s="9" t="s">
        <v>1</v>
      </c>
      <c r="D188" s="9">
        <v>2</v>
      </c>
    </row>
    <row r="189" spans="1:4" x14ac:dyDescent="0.25">
      <c r="A189" s="9">
        <v>7</v>
      </c>
      <c r="B189" s="9" t="s">
        <v>546</v>
      </c>
      <c r="C189" s="9" t="s">
        <v>1</v>
      </c>
      <c r="D189" s="9">
        <v>2</v>
      </c>
    </row>
    <row r="190" spans="1:4" x14ac:dyDescent="0.25">
      <c r="A190" s="9">
        <v>7</v>
      </c>
      <c r="B190" s="9" t="s">
        <v>558</v>
      </c>
      <c r="C190" s="9" t="s">
        <v>1</v>
      </c>
      <c r="D190" s="9">
        <v>2</v>
      </c>
    </row>
    <row r="191" spans="1:4" x14ac:dyDescent="0.25">
      <c r="A191" s="9">
        <v>7</v>
      </c>
      <c r="B191" s="9" t="s">
        <v>569</v>
      </c>
      <c r="C191" s="9" t="s">
        <v>1</v>
      </c>
      <c r="D191" s="9">
        <v>2</v>
      </c>
    </row>
    <row r="192" spans="1:4" x14ac:dyDescent="0.25">
      <c r="A192" s="9">
        <v>7</v>
      </c>
      <c r="B192" s="9" t="s">
        <v>580</v>
      </c>
      <c r="C192" s="9" t="s">
        <v>1</v>
      </c>
      <c r="D192" s="9">
        <v>2</v>
      </c>
    </row>
    <row r="193" spans="1:4" x14ac:dyDescent="0.25">
      <c r="A193" s="9">
        <v>7</v>
      </c>
      <c r="B193" s="9" t="s">
        <v>292</v>
      </c>
      <c r="C193" s="9" t="s">
        <v>2</v>
      </c>
      <c r="D193" s="9">
        <v>3</v>
      </c>
    </row>
    <row r="194" spans="1:4" x14ac:dyDescent="0.25">
      <c r="A194" s="9">
        <v>7</v>
      </c>
      <c r="B194" s="9" t="s">
        <v>305</v>
      </c>
      <c r="C194" s="9" t="s">
        <v>2</v>
      </c>
      <c r="D194" s="9">
        <v>3</v>
      </c>
    </row>
    <row r="195" spans="1:4" x14ac:dyDescent="0.25">
      <c r="A195" s="9">
        <v>8</v>
      </c>
      <c r="B195" s="9" t="s">
        <v>293</v>
      </c>
      <c r="C195" s="9" t="s">
        <v>1</v>
      </c>
      <c r="D195" s="9">
        <v>2</v>
      </c>
    </row>
    <row r="196" spans="1:4" x14ac:dyDescent="0.25">
      <c r="A196" s="9">
        <v>8</v>
      </c>
      <c r="B196" s="9" t="s">
        <v>302</v>
      </c>
      <c r="C196" s="9" t="s">
        <v>1</v>
      </c>
      <c r="D196" s="9">
        <v>2</v>
      </c>
    </row>
    <row r="197" spans="1:4" x14ac:dyDescent="0.25">
      <c r="A197" s="9">
        <v>8</v>
      </c>
      <c r="B197" s="9" t="s">
        <v>310</v>
      </c>
      <c r="C197" s="9" t="s">
        <v>1</v>
      </c>
      <c r="D197" s="9">
        <v>2</v>
      </c>
    </row>
    <row r="198" spans="1:4" x14ac:dyDescent="0.25">
      <c r="A198" s="9">
        <v>8</v>
      </c>
      <c r="B198" s="9" t="s">
        <v>329</v>
      </c>
      <c r="C198" s="9" t="s">
        <v>1</v>
      </c>
      <c r="D198" s="9">
        <v>2</v>
      </c>
    </row>
    <row r="199" spans="1:4" x14ac:dyDescent="0.25">
      <c r="A199" s="9">
        <v>8</v>
      </c>
      <c r="B199" s="9" t="s">
        <v>338</v>
      </c>
      <c r="C199" s="9" t="s">
        <v>1</v>
      </c>
      <c r="D199" s="9">
        <v>2</v>
      </c>
    </row>
    <row r="200" spans="1:4" x14ac:dyDescent="0.25">
      <c r="A200" s="9">
        <v>8</v>
      </c>
      <c r="B200" s="9" t="s">
        <v>350</v>
      </c>
      <c r="C200" s="9" t="s">
        <v>1</v>
      </c>
      <c r="D200" s="9">
        <v>2</v>
      </c>
    </row>
    <row r="201" spans="1:4" x14ac:dyDescent="0.25">
      <c r="A201" s="9">
        <v>8</v>
      </c>
      <c r="B201" s="9" t="s">
        <v>363</v>
      </c>
      <c r="C201" s="9" t="s">
        <v>1</v>
      </c>
      <c r="D201" s="9">
        <v>2</v>
      </c>
    </row>
    <row r="202" spans="1:4" x14ac:dyDescent="0.25">
      <c r="A202" s="9">
        <v>8</v>
      </c>
      <c r="B202" s="9" t="s">
        <v>378</v>
      </c>
      <c r="C202" s="9" t="s">
        <v>1</v>
      </c>
      <c r="D202" s="9">
        <v>2</v>
      </c>
    </row>
    <row r="203" spans="1:4" x14ac:dyDescent="0.25">
      <c r="A203" s="9">
        <v>8</v>
      </c>
      <c r="B203" s="9" t="s">
        <v>390</v>
      </c>
      <c r="C203" s="9" t="s">
        <v>1</v>
      </c>
      <c r="D203" s="9">
        <v>2</v>
      </c>
    </row>
    <row r="204" spans="1:4" x14ac:dyDescent="0.25">
      <c r="A204" s="9">
        <v>8</v>
      </c>
      <c r="B204" s="9" t="s">
        <v>399</v>
      </c>
      <c r="C204" s="9" t="s">
        <v>1</v>
      </c>
      <c r="D204" s="9">
        <v>2</v>
      </c>
    </row>
    <row r="205" spans="1:4" x14ac:dyDescent="0.25">
      <c r="A205" s="9">
        <v>8</v>
      </c>
      <c r="B205" s="9" t="s">
        <v>411</v>
      </c>
      <c r="C205" s="9" t="s">
        <v>1</v>
      </c>
      <c r="D205" s="9">
        <v>2</v>
      </c>
    </row>
    <row r="206" spans="1:4" x14ac:dyDescent="0.25">
      <c r="A206" s="9">
        <v>8</v>
      </c>
      <c r="B206" s="9" t="s">
        <v>423</v>
      </c>
      <c r="C206" s="9" t="s">
        <v>1</v>
      </c>
      <c r="D206" s="9">
        <v>2</v>
      </c>
    </row>
    <row r="207" spans="1:4" x14ac:dyDescent="0.25">
      <c r="A207" s="9">
        <v>8</v>
      </c>
      <c r="B207" s="9" t="s">
        <v>436</v>
      </c>
      <c r="C207" s="9" t="s">
        <v>1</v>
      </c>
      <c r="D207" s="9">
        <v>2</v>
      </c>
    </row>
    <row r="208" spans="1:4" x14ac:dyDescent="0.25">
      <c r="A208" s="9">
        <v>8</v>
      </c>
      <c r="B208" s="9" t="s">
        <v>447</v>
      </c>
      <c r="C208" s="9" t="s">
        <v>1</v>
      </c>
      <c r="D208" s="9">
        <v>2</v>
      </c>
    </row>
    <row r="209" spans="1:4" x14ac:dyDescent="0.25">
      <c r="A209" s="9">
        <v>8</v>
      </c>
      <c r="B209" s="9" t="s">
        <v>457</v>
      </c>
      <c r="C209" s="9" t="s">
        <v>1</v>
      </c>
      <c r="D209" s="9">
        <v>2</v>
      </c>
    </row>
    <row r="210" spans="1:4" x14ac:dyDescent="0.25">
      <c r="A210" s="9">
        <v>8</v>
      </c>
      <c r="B210" s="9" t="s">
        <v>470</v>
      </c>
      <c r="C210" s="9" t="s">
        <v>1</v>
      </c>
      <c r="D210" s="9">
        <v>2</v>
      </c>
    </row>
    <row r="211" spans="1:4" x14ac:dyDescent="0.25">
      <c r="A211" s="9">
        <v>8</v>
      </c>
      <c r="B211" s="9" t="s">
        <v>483</v>
      </c>
      <c r="C211" s="9" t="s">
        <v>1</v>
      </c>
      <c r="D211" s="9">
        <v>2</v>
      </c>
    </row>
    <row r="212" spans="1:4" x14ac:dyDescent="0.25">
      <c r="A212" s="9">
        <v>8</v>
      </c>
      <c r="B212" s="9" t="s">
        <v>494</v>
      </c>
      <c r="C212" s="9" t="s">
        <v>1</v>
      </c>
      <c r="D212" s="9">
        <v>2</v>
      </c>
    </row>
    <row r="213" spans="1:4" x14ac:dyDescent="0.25">
      <c r="A213" s="9">
        <v>8</v>
      </c>
      <c r="B213" s="9" t="s">
        <v>506</v>
      </c>
      <c r="C213" s="9" t="s">
        <v>1</v>
      </c>
      <c r="D213" s="9">
        <v>2</v>
      </c>
    </row>
    <row r="214" spans="1:4" x14ac:dyDescent="0.25">
      <c r="A214" s="9">
        <v>8</v>
      </c>
      <c r="B214" s="9" t="s">
        <v>518</v>
      </c>
      <c r="C214" s="9" t="s">
        <v>1</v>
      </c>
      <c r="D214" s="9">
        <v>2</v>
      </c>
    </row>
    <row r="215" spans="1:4" x14ac:dyDescent="0.25">
      <c r="A215" s="9">
        <v>8</v>
      </c>
      <c r="B215" s="9" t="s">
        <v>536</v>
      </c>
      <c r="C215" s="9" t="s">
        <v>1</v>
      </c>
      <c r="D215" s="9">
        <v>2</v>
      </c>
    </row>
    <row r="216" spans="1:4" x14ac:dyDescent="0.25">
      <c r="A216" s="9">
        <v>8</v>
      </c>
      <c r="B216" s="9" t="s">
        <v>549</v>
      </c>
      <c r="C216" s="9" t="s">
        <v>1</v>
      </c>
      <c r="D216" s="9">
        <v>2</v>
      </c>
    </row>
    <row r="217" spans="1:4" x14ac:dyDescent="0.25">
      <c r="A217" s="9">
        <v>8</v>
      </c>
      <c r="B217" s="9" t="s">
        <v>561</v>
      </c>
      <c r="C217" s="9" t="s">
        <v>1</v>
      </c>
      <c r="D217" s="9">
        <v>2</v>
      </c>
    </row>
    <row r="218" spans="1:4" x14ac:dyDescent="0.25">
      <c r="A218" s="9">
        <v>8</v>
      </c>
      <c r="B218" s="9" t="s">
        <v>571</v>
      </c>
      <c r="C218" s="9" t="s">
        <v>1</v>
      </c>
      <c r="D218" s="9">
        <v>2</v>
      </c>
    </row>
    <row r="219" spans="1:4" x14ac:dyDescent="0.25">
      <c r="A219" s="9">
        <v>8</v>
      </c>
      <c r="B219" s="9" t="s">
        <v>584</v>
      </c>
      <c r="C219" s="9" t="s">
        <v>1</v>
      </c>
      <c r="D219" s="9">
        <v>2</v>
      </c>
    </row>
    <row r="220" spans="1:4" x14ac:dyDescent="0.25">
      <c r="A220" s="9">
        <v>8</v>
      </c>
      <c r="B220" s="9" t="s">
        <v>298</v>
      </c>
      <c r="C220" s="9" t="s">
        <v>2</v>
      </c>
      <c r="D220" s="9">
        <v>3</v>
      </c>
    </row>
    <row r="221" spans="1:4" x14ac:dyDescent="0.25">
      <c r="A221" s="9">
        <v>8</v>
      </c>
      <c r="B221" s="9" t="s">
        <v>309</v>
      </c>
      <c r="C221" s="9" t="s">
        <v>2</v>
      </c>
      <c r="D221" s="9">
        <v>3</v>
      </c>
    </row>
    <row r="222" spans="1:4" x14ac:dyDescent="0.25">
      <c r="A222" s="9">
        <v>9</v>
      </c>
      <c r="B222" s="9" t="s">
        <v>289</v>
      </c>
      <c r="C222" s="9" t="s">
        <v>1</v>
      </c>
      <c r="D222" s="9">
        <v>2</v>
      </c>
    </row>
    <row r="223" spans="1:4" x14ac:dyDescent="0.25">
      <c r="A223" s="9">
        <v>9</v>
      </c>
      <c r="B223" s="9" t="s">
        <v>298</v>
      </c>
      <c r="C223" s="9" t="s">
        <v>1</v>
      </c>
      <c r="D223" s="9">
        <v>2</v>
      </c>
    </row>
    <row r="224" spans="1:4" x14ac:dyDescent="0.25">
      <c r="A224" s="9">
        <v>9</v>
      </c>
      <c r="B224" s="9" t="s">
        <v>321</v>
      </c>
      <c r="C224" s="9" t="s">
        <v>1</v>
      </c>
      <c r="D224" s="9">
        <v>2</v>
      </c>
    </row>
    <row r="225" spans="1:4" x14ac:dyDescent="0.25">
      <c r="A225" s="9">
        <v>9</v>
      </c>
      <c r="B225" s="9" t="s">
        <v>332</v>
      </c>
      <c r="C225" s="9" t="s">
        <v>1</v>
      </c>
      <c r="D225" s="9">
        <v>2</v>
      </c>
    </row>
    <row r="226" spans="1:4" x14ac:dyDescent="0.25">
      <c r="A226" s="9">
        <v>9</v>
      </c>
      <c r="B226" s="9" t="s">
        <v>342</v>
      </c>
      <c r="C226" s="9" t="s">
        <v>1</v>
      </c>
      <c r="D226" s="9">
        <v>2</v>
      </c>
    </row>
    <row r="227" spans="1:4" x14ac:dyDescent="0.25">
      <c r="A227" s="9">
        <v>9</v>
      </c>
      <c r="B227" s="9" t="s">
        <v>354</v>
      </c>
      <c r="C227" s="9" t="s">
        <v>1</v>
      </c>
      <c r="D227" s="9">
        <v>2</v>
      </c>
    </row>
    <row r="228" spans="1:4" x14ac:dyDescent="0.25">
      <c r="A228" s="9">
        <v>9</v>
      </c>
      <c r="B228" s="9" t="s">
        <v>365</v>
      </c>
      <c r="C228" s="9" t="s">
        <v>1</v>
      </c>
      <c r="D228" s="9">
        <v>2</v>
      </c>
    </row>
    <row r="229" spans="1:4" x14ac:dyDescent="0.25">
      <c r="A229" s="9">
        <v>9</v>
      </c>
      <c r="B229" s="9" t="s">
        <v>376</v>
      </c>
      <c r="C229" s="9" t="s">
        <v>1</v>
      </c>
      <c r="D229" s="9">
        <v>2</v>
      </c>
    </row>
    <row r="230" spans="1:4" x14ac:dyDescent="0.25">
      <c r="A230" s="9">
        <v>9</v>
      </c>
      <c r="B230" s="9" t="s">
        <v>386</v>
      </c>
      <c r="C230" s="9" t="s">
        <v>1</v>
      </c>
      <c r="D230" s="9">
        <v>2</v>
      </c>
    </row>
    <row r="231" spans="1:4" x14ac:dyDescent="0.25">
      <c r="A231" s="9">
        <v>9</v>
      </c>
      <c r="B231" s="9" t="s">
        <v>396</v>
      </c>
      <c r="C231" s="9" t="s">
        <v>1</v>
      </c>
      <c r="D231" s="9">
        <v>2</v>
      </c>
    </row>
    <row r="232" spans="1:4" x14ac:dyDescent="0.25">
      <c r="A232" s="9">
        <v>9</v>
      </c>
      <c r="B232" s="9" t="s">
        <v>405</v>
      </c>
      <c r="C232" s="9" t="s">
        <v>1</v>
      </c>
      <c r="D232" s="9">
        <v>2</v>
      </c>
    </row>
    <row r="233" spans="1:4" x14ac:dyDescent="0.25">
      <c r="A233" s="9">
        <v>9</v>
      </c>
      <c r="B233" s="9" t="s">
        <v>417</v>
      </c>
      <c r="C233" s="9" t="s">
        <v>1</v>
      </c>
      <c r="D233" s="9">
        <v>2</v>
      </c>
    </row>
    <row r="234" spans="1:4" x14ac:dyDescent="0.25">
      <c r="A234" s="9">
        <v>9</v>
      </c>
      <c r="B234" s="9" t="s">
        <v>430</v>
      </c>
      <c r="C234" s="9" t="s">
        <v>1</v>
      </c>
      <c r="D234" s="9">
        <v>2</v>
      </c>
    </row>
    <row r="235" spans="1:4" x14ac:dyDescent="0.25">
      <c r="A235" s="9">
        <v>9</v>
      </c>
      <c r="B235" s="9" t="s">
        <v>443</v>
      </c>
      <c r="C235" s="9" t="s">
        <v>1</v>
      </c>
      <c r="D235" s="9">
        <v>2</v>
      </c>
    </row>
    <row r="236" spans="1:4" x14ac:dyDescent="0.25">
      <c r="A236" s="9">
        <v>9</v>
      </c>
      <c r="B236" s="9" t="s">
        <v>453</v>
      </c>
      <c r="C236" s="9" t="s">
        <v>1</v>
      </c>
      <c r="D236" s="9">
        <v>2</v>
      </c>
    </row>
    <row r="237" spans="1:4" x14ac:dyDescent="0.25">
      <c r="A237" s="9">
        <v>9</v>
      </c>
      <c r="B237" s="9" t="s">
        <v>466</v>
      </c>
      <c r="C237" s="9" t="s">
        <v>1</v>
      </c>
      <c r="D237" s="9">
        <v>2</v>
      </c>
    </row>
    <row r="238" spans="1:4" x14ac:dyDescent="0.25">
      <c r="A238" s="9">
        <v>9</v>
      </c>
      <c r="B238" s="9" t="s">
        <v>479</v>
      </c>
      <c r="C238" s="9" t="s">
        <v>1</v>
      </c>
      <c r="D238" s="9">
        <v>2</v>
      </c>
    </row>
    <row r="239" spans="1:4" x14ac:dyDescent="0.25">
      <c r="A239" s="9">
        <v>9</v>
      </c>
      <c r="B239" s="9" t="s">
        <v>488</v>
      </c>
      <c r="C239" s="9" t="s">
        <v>1</v>
      </c>
      <c r="D239" s="9">
        <v>2</v>
      </c>
    </row>
    <row r="240" spans="1:4" x14ac:dyDescent="0.25">
      <c r="A240" s="9">
        <v>9</v>
      </c>
      <c r="B240" s="9" t="s">
        <v>502</v>
      </c>
      <c r="C240" s="9" t="s">
        <v>1</v>
      </c>
      <c r="D240" s="9">
        <v>2</v>
      </c>
    </row>
    <row r="241" spans="1:4" x14ac:dyDescent="0.25">
      <c r="A241" s="9">
        <v>9</v>
      </c>
      <c r="B241" s="9" t="s">
        <v>513</v>
      </c>
      <c r="C241" s="9" t="s">
        <v>1</v>
      </c>
      <c r="D241" s="9">
        <v>2</v>
      </c>
    </row>
    <row r="242" spans="1:4" x14ac:dyDescent="0.25">
      <c r="A242" s="9">
        <v>9</v>
      </c>
      <c r="B242" s="9" t="s">
        <v>521</v>
      </c>
      <c r="C242" s="9" t="s">
        <v>1</v>
      </c>
      <c r="D242" s="9">
        <v>2</v>
      </c>
    </row>
    <row r="243" spans="1:4" x14ac:dyDescent="0.25">
      <c r="A243" s="9">
        <v>9</v>
      </c>
      <c r="B243" s="9" t="s">
        <v>532</v>
      </c>
      <c r="C243" s="9" t="s">
        <v>1</v>
      </c>
      <c r="D243" s="9">
        <v>2</v>
      </c>
    </row>
    <row r="244" spans="1:4" x14ac:dyDescent="0.25">
      <c r="A244" s="9">
        <v>9</v>
      </c>
      <c r="B244" s="9" t="s">
        <v>545</v>
      </c>
      <c r="C244" s="9" t="s">
        <v>1</v>
      </c>
      <c r="D244" s="9">
        <v>2</v>
      </c>
    </row>
    <row r="245" spans="1:4" x14ac:dyDescent="0.25">
      <c r="A245" s="9">
        <v>9</v>
      </c>
      <c r="B245" s="9" t="s">
        <v>557</v>
      </c>
      <c r="C245" s="9" t="s">
        <v>1</v>
      </c>
      <c r="D245" s="9">
        <v>2</v>
      </c>
    </row>
    <row r="246" spans="1:4" x14ac:dyDescent="0.25">
      <c r="A246" s="9">
        <v>9</v>
      </c>
      <c r="B246" s="9" t="s">
        <v>566</v>
      </c>
      <c r="C246" s="9" t="s">
        <v>1</v>
      </c>
      <c r="D246" s="9">
        <v>2</v>
      </c>
    </row>
    <row r="247" spans="1:4" x14ac:dyDescent="0.25">
      <c r="A247" s="9">
        <v>9</v>
      </c>
      <c r="B247" s="9" t="s">
        <v>579</v>
      </c>
      <c r="C247" s="9" t="s">
        <v>1</v>
      </c>
      <c r="D247" s="9">
        <v>2</v>
      </c>
    </row>
    <row r="248" spans="1:4" x14ac:dyDescent="0.25">
      <c r="A248" s="9">
        <v>9</v>
      </c>
      <c r="B248" s="9" t="s">
        <v>290</v>
      </c>
      <c r="C248" s="9" t="s">
        <v>2</v>
      </c>
      <c r="D248" s="9">
        <v>3</v>
      </c>
    </row>
    <row r="249" spans="1:4" x14ac:dyDescent="0.25">
      <c r="A249" s="9">
        <v>9</v>
      </c>
      <c r="B249" s="9" t="s">
        <v>302</v>
      </c>
      <c r="C249" s="9" t="s">
        <v>2</v>
      </c>
      <c r="D249" s="9">
        <v>3</v>
      </c>
    </row>
    <row r="250" spans="1:4" x14ac:dyDescent="0.25">
      <c r="A250" s="9">
        <v>10</v>
      </c>
      <c r="B250" s="9" t="s">
        <v>286</v>
      </c>
      <c r="C250" s="9" t="s">
        <v>1</v>
      </c>
      <c r="D250" s="9">
        <v>2</v>
      </c>
    </row>
    <row r="251" spans="1:4" x14ac:dyDescent="0.25">
      <c r="A251" s="9">
        <v>10</v>
      </c>
      <c r="B251" s="9" t="s">
        <v>309</v>
      </c>
      <c r="C251" s="9" t="s">
        <v>1</v>
      </c>
      <c r="D251" s="9">
        <v>2</v>
      </c>
    </row>
    <row r="252" spans="1:4" x14ac:dyDescent="0.25">
      <c r="A252" s="9">
        <v>10</v>
      </c>
      <c r="B252" s="9" t="s">
        <v>315</v>
      </c>
      <c r="C252" s="9" t="s">
        <v>1</v>
      </c>
      <c r="D252" s="9">
        <v>2</v>
      </c>
    </row>
    <row r="253" spans="1:4" x14ac:dyDescent="0.25">
      <c r="A253" s="9">
        <v>10</v>
      </c>
      <c r="B253" s="9" t="s">
        <v>322</v>
      </c>
      <c r="C253" s="9" t="s">
        <v>1</v>
      </c>
      <c r="D253" s="9">
        <v>2</v>
      </c>
    </row>
    <row r="254" spans="1:4" x14ac:dyDescent="0.25">
      <c r="A254" s="9">
        <v>10</v>
      </c>
      <c r="B254" s="9" t="s">
        <v>334</v>
      </c>
      <c r="C254" s="9" t="s">
        <v>1</v>
      </c>
      <c r="D254" s="9">
        <v>2</v>
      </c>
    </row>
    <row r="255" spans="1:4" x14ac:dyDescent="0.25">
      <c r="A255" s="9">
        <v>10</v>
      </c>
      <c r="B255" s="9" t="s">
        <v>345</v>
      </c>
      <c r="C255" s="9" t="s">
        <v>1</v>
      </c>
      <c r="D255" s="9">
        <v>2</v>
      </c>
    </row>
    <row r="256" spans="1:4" x14ac:dyDescent="0.25">
      <c r="A256" s="9">
        <v>10</v>
      </c>
      <c r="B256" s="9" t="s">
        <v>357</v>
      </c>
      <c r="C256" s="9" t="s">
        <v>1</v>
      </c>
      <c r="D256" s="9">
        <v>2</v>
      </c>
    </row>
    <row r="257" spans="1:4" x14ac:dyDescent="0.25">
      <c r="A257" s="9">
        <v>10</v>
      </c>
      <c r="B257" s="9" t="s">
        <v>368</v>
      </c>
      <c r="C257" s="9" t="s">
        <v>1</v>
      </c>
      <c r="D257" s="9">
        <v>2</v>
      </c>
    </row>
    <row r="258" spans="1:4" x14ac:dyDescent="0.25">
      <c r="A258" s="9">
        <v>10</v>
      </c>
      <c r="B258" s="9" t="s">
        <v>380</v>
      </c>
      <c r="C258" s="9" t="s">
        <v>1</v>
      </c>
      <c r="D258" s="9">
        <v>2</v>
      </c>
    </row>
    <row r="259" spans="1:4" x14ac:dyDescent="0.25">
      <c r="A259" s="9">
        <v>10</v>
      </c>
      <c r="B259" s="9" t="s">
        <v>393</v>
      </c>
      <c r="C259" s="9" t="s">
        <v>1</v>
      </c>
      <c r="D259" s="9">
        <v>2</v>
      </c>
    </row>
    <row r="260" spans="1:4" x14ac:dyDescent="0.25">
      <c r="A260" s="9">
        <v>10</v>
      </c>
      <c r="B260" s="9" t="s">
        <v>403</v>
      </c>
      <c r="C260" s="9" t="s">
        <v>1</v>
      </c>
      <c r="D260" s="9">
        <v>2</v>
      </c>
    </row>
    <row r="261" spans="1:4" x14ac:dyDescent="0.25">
      <c r="A261" s="9">
        <v>10</v>
      </c>
      <c r="B261" s="9" t="s">
        <v>414</v>
      </c>
      <c r="C261" s="9" t="s">
        <v>1</v>
      </c>
      <c r="D261" s="9">
        <v>2</v>
      </c>
    </row>
    <row r="262" spans="1:4" x14ac:dyDescent="0.25">
      <c r="A262" s="9">
        <v>10</v>
      </c>
      <c r="B262" s="9" t="s">
        <v>426</v>
      </c>
      <c r="C262" s="9" t="s">
        <v>1</v>
      </c>
      <c r="D262" s="9">
        <v>2</v>
      </c>
    </row>
    <row r="263" spans="1:4" x14ac:dyDescent="0.25">
      <c r="A263" s="9">
        <v>10</v>
      </c>
      <c r="B263" s="9" t="s">
        <v>438</v>
      </c>
      <c r="C263" s="9" t="s">
        <v>1</v>
      </c>
      <c r="D263" s="9">
        <v>2</v>
      </c>
    </row>
    <row r="264" spans="1:4" x14ac:dyDescent="0.25">
      <c r="A264" s="9">
        <v>10</v>
      </c>
      <c r="B264" s="9" t="s">
        <v>450</v>
      </c>
      <c r="C264" s="9" t="s">
        <v>1</v>
      </c>
      <c r="D264" s="9">
        <v>2</v>
      </c>
    </row>
    <row r="265" spans="1:4" x14ac:dyDescent="0.25">
      <c r="A265" s="9">
        <v>10</v>
      </c>
      <c r="B265" s="9" t="s">
        <v>462</v>
      </c>
      <c r="C265" s="9" t="s">
        <v>1</v>
      </c>
      <c r="D265" s="9">
        <v>2</v>
      </c>
    </row>
    <row r="266" spans="1:4" x14ac:dyDescent="0.25">
      <c r="A266" s="9">
        <v>10</v>
      </c>
      <c r="B266" s="9" t="s">
        <v>474</v>
      </c>
      <c r="C266" s="9" t="s">
        <v>1</v>
      </c>
      <c r="D266" s="9">
        <v>2</v>
      </c>
    </row>
    <row r="267" spans="1:4" x14ac:dyDescent="0.25">
      <c r="A267" s="9">
        <v>10</v>
      </c>
      <c r="B267" s="9" t="s">
        <v>486</v>
      </c>
      <c r="C267" s="9" t="s">
        <v>1</v>
      </c>
      <c r="D267" s="9">
        <v>2</v>
      </c>
    </row>
    <row r="268" spans="1:4" x14ac:dyDescent="0.25">
      <c r="A268" s="9">
        <v>10</v>
      </c>
      <c r="B268" s="9" t="s">
        <v>497</v>
      </c>
      <c r="C268" s="9" t="s">
        <v>1</v>
      </c>
      <c r="D268" s="9">
        <v>2</v>
      </c>
    </row>
    <row r="269" spans="1:4" x14ac:dyDescent="0.25">
      <c r="A269" s="9">
        <v>10</v>
      </c>
      <c r="B269" s="9" t="s">
        <v>509</v>
      </c>
      <c r="C269" s="9" t="s">
        <v>1</v>
      </c>
      <c r="D269" s="9">
        <v>2</v>
      </c>
    </row>
    <row r="270" spans="1:4" x14ac:dyDescent="0.25">
      <c r="A270" s="9">
        <v>10</v>
      </c>
      <c r="B270" s="9" t="s">
        <v>520</v>
      </c>
      <c r="C270" s="9" t="s">
        <v>1</v>
      </c>
      <c r="D270" s="9">
        <v>2</v>
      </c>
    </row>
    <row r="271" spans="1:4" x14ac:dyDescent="0.25">
      <c r="A271" s="9">
        <v>10</v>
      </c>
      <c r="B271" s="9" t="s">
        <v>531</v>
      </c>
      <c r="C271" s="9" t="s">
        <v>1</v>
      </c>
      <c r="D271" s="9">
        <v>2</v>
      </c>
    </row>
    <row r="272" spans="1:4" x14ac:dyDescent="0.25">
      <c r="A272" s="9">
        <v>10</v>
      </c>
      <c r="B272" s="9" t="s">
        <v>543</v>
      </c>
      <c r="C272" s="9" t="s">
        <v>1</v>
      </c>
      <c r="D272" s="9">
        <v>2</v>
      </c>
    </row>
    <row r="273" spans="1:4" x14ac:dyDescent="0.25">
      <c r="A273" s="9">
        <v>10</v>
      </c>
      <c r="B273" s="9" t="s">
        <v>554</v>
      </c>
      <c r="C273" s="9" t="s">
        <v>1</v>
      </c>
      <c r="D273" s="9">
        <v>2</v>
      </c>
    </row>
    <row r="274" spans="1:4" x14ac:dyDescent="0.25">
      <c r="A274" s="9">
        <v>10</v>
      </c>
      <c r="B274" s="9" t="s">
        <v>567</v>
      </c>
      <c r="C274" s="9" t="s">
        <v>1</v>
      </c>
      <c r="D274" s="9">
        <v>2</v>
      </c>
    </row>
    <row r="275" spans="1:4" x14ac:dyDescent="0.25">
      <c r="A275" s="9">
        <v>10</v>
      </c>
      <c r="B275" s="9" t="s">
        <v>288</v>
      </c>
      <c r="C275" s="9" t="s">
        <v>1</v>
      </c>
      <c r="D275" s="9">
        <v>2</v>
      </c>
    </row>
    <row r="276" spans="1:4" x14ac:dyDescent="0.25">
      <c r="A276" s="9">
        <v>10</v>
      </c>
      <c r="B276" s="9" t="s">
        <v>294</v>
      </c>
      <c r="C276" s="9" t="s">
        <v>2</v>
      </c>
      <c r="D276" s="9">
        <v>3</v>
      </c>
    </row>
    <row r="277" spans="1:4" x14ac:dyDescent="0.25">
      <c r="A277" s="9">
        <v>10</v>
      </c>
      <c r="B277" s="9" t="s">
        <v>310</v>
      </c>
      <c r="C277" s="9" t="s">
        <v>2</v>
      </c>
      <c r="D277" s="9">
        <v>3</v>
      </c>
    </row>
    <row r="278" spans="1:4" x14ac:dyDescent="0.25">
      <c r="A278" s="9">
        <v>11</v>
      </c>
      <c r="B278" s="9" t="s">
        <v>297</v>
      </c>
      <c r="C278" s="9" t="s">
        <v>1</v>
      </c>
      <c r="D278" s="9">
        <v>2</v>
      </c>
    </row>
    <row r="279" spans="1:4" x14ac:dyDescent="0.25">
      <c r="A279" s="9">
        <v>11</v>
      </c>
      <c r="B279" s="9" t="s">
        <v>308</v>
      </c>
      <c r="C279" s="9" t="s">
        <v>1</v>
      </c>
      <c r="D279" s="9">
        <v>2</v>
      </c>
    </row>
    <row r="280" spans="1:4" x14ac:dyDescent="0.25">
      <c r="A280" s="9">
        <v>11</v>
      </c>
      <c r="B280" s="9" t="s">
        <v>317</v>
      </c>
      <c r="C280" s="9" t="s">
        <v>1</v>
      </c>
      <c r="D280" s="9">
        <v>2</v>
      </c>
    </row>
    <row r="281" spans="1:4" x14ac:dyDescent="0.25">
      <c r="A281" s="9">
        <v>11</v>
      </c>
      <c r="B281" s="9" t="s">
        <v>331</v>
      </c>
      <c r="C281" s="9" t="s">
        <v>1</v>
      </c>
      <c r="D281" s="9">
        <v>2</v>
      </c>
    </row>
    <row r="282" spans="1:4" x14ac:dyDescent="0.25">
      <c r="A282" s="9">
        <v>11</v>
      </c>
      <c r="B282" s="9" t="s">
        <v>344</v>
      </c>
      <c r="C282" s="9" t="s">
        <v>1</v>
      </c>
      <c r="D282" s="9">
        <v>2</v>
      </c>
    </row>
    <row r="283" spans="1:4" x14ac:dyDescent="0.25">
      <c r="A283" s="9">
        <v>11</v>
      </c>
      <c r="B283" s="9" t="s">
        <v>355</v>
      </c>
      <c r="C283" s="9" t="s">
        <v>1</v>
      </c>
      <c r="D283" s="9">
        <v>2</v>
      </c>
    </row>
    <row r="284" spans="1:4" x14ac:dyDescent="0.25">
      <c r="A284" s="9">
        <v>11</v>
      </c>
      <c r="B284" s="9" t="s">
        <v>367</v>
      </c>
      <c r="C284" s="9" t="s">
        <v>1</v>
      </c>
      <c r="D284" s="9">
        <v>2</v>
      </c>
    </row>
    <row r="285" spans="1:4" x14ac:dyDescent="0.25">
      <c r="A285" s="9">
        <v>11</v>
      </c>
      <c r="B285" s="9" t="s">
        <v>381</v>
      </c>
      <c r="C285" s="9" t="s">
        <v>1</v>
      </c>
      <c r="D285" s="9">
        <v>2</v>
      </c>
    </row>
    <row r="286" spans="1:4" x14ac:dyDescent="0.25">
      <c r="A286" s="9">
        <v>11</v>
      </c>
      <c r="B286" s="9" t="s">
        <v>394</v>
      </c>
      <c r="C286" s="9" t="s">
        <v>1</v>
      </c>
      <c r="D286" s="9">
        <v>2</v>
      </c>
    </row>
    <row r="287" spans="1:4" x14ac:dyDescent="0.25">
      <c r="A287" s="9">
        <v>11</v>
      </c>
      <c r="B287" s="9" t="s">
        <v>406</v>
      </c>
      <c r="C287" s="9" t="s">
        <v>1</v>
      </c>
      <c r="D287" s="9">
        <v>2</v>
      </c>
    </row>
    <row r="288" spans="1:4" x14ac:dyDescent="0.25">
      <c r="A288" s="9">
        <v>11</v>
      </c>
      <c r="B288" s="9" t="s">
        <v>420</v>
      </c>
      <c r="C288" s="9" t="s">
        <v>1</v>
      </c>
      <c r="D288" s="9">
        <v>2</v>
      </c>
    </row>
    <row r="289" spans="1:4" x14ac:dyDescent="0.25">
      <c r="A289" s="9">
        <v>11</v>
      </c>
      <c r="B289" s="9" t="s">
        <v>434</v>
      </c>
      <c r="C289" s="9" t="s">
        <v>1</v>
      </c>
      <c r="D289" s="9">
        <v>2</v>
      </c>
    </row>
    <row r="290" spans="1:4" x14ac:dyDescent="0.25">
      <c r="A290" s="9">
        <v>11</v>
      </c>
      <c r="B290" s="9" t="s">
        <v>448</v>
      </c>
      <c r="C290" s="9" t="s">
        <v>1</v>
      </c>
      <c r="D290" s="9">
        <v>2</v>
      </c>
    </row>
    <row r="291" spans="1:4" x14ac:dyDescent="0.25">
      <c r="A291" s="9">
        <v>11</v>
      </c>
      <c r="B291" s="9" t="s">
        <v>461</v>
      </c>
      <c r="C291" s="9" t="s">
        <v>1</v>
      </c>
      <c r="D291" s="9">
        <v>2</v>
      </c>
    </row>
    <row r="292" spans="1:4" x14ac:dyDescent="0.25">
      <c r="A292" s="9">
        <v>11</v>
      </c>
      <c r="B292" s="9" t="s">
        <v>473</v>
      </c>
      <c r="C292" s="9" t="s">
        <v>1</v>
      </c>
      <c r="D292" s="9">
        <v>2</v>
      </c>
    </row>
    <row r="293" spans="1:4" x14ac:dyDescent="0.25">
      <c r="A293" s="9">
        <v>11</v>
      </c>
      <c r="B293" s="9" t="s">
        <v>485</v>
      </c>
      <c r="C293" s="9" t="s">
        <v>1</v>
      </c>
      <c r="D293" s="9">
        <v>2</v>
      </c>
    </row>
    <row r="294" spans="1:4" x14ac:dyDescent="0.25">
      <c r="A294" s="9">
        <v>11</v>
      </c>
      <c r="B294" s="9" t="s">
        <v>496</v>
      </c>
      <c r="C294" s="9" t="s">
        <v>1</v>
      </c>
      <c r="D294" s="9">
        <v>2</v>
      </c>
    </row>
    <row r="295" spans="1:4" x14ac:dyDescent="0.25">
      <c r="A295" s="9">
        <v>11</v>
      </c>
      <c r="B295" s="9" t="s">
        <v>508</v>
      </c>
      <c r="C295" s="9" t="s">
        <v>1</v>
      </c>
      <c r="D295" s="9">
        <v>2</v>
      </c>
    </row>
    <row r="296" spans="1:4" x14ac:dyDescent="0.25">
      <c r="A296" s="9">
        <v>11</v>
      </c>
      <c r="B296" s="9" t="s">
        <v>525</v>
      </c>
      <c r="C296" s="9" t="s">
        <v>1</v>
      </c>
      <c r="D296" s="9">
        <v>2</v>
      </c>
    </row>
    <row r="297" spans="1:4" x14ac:dyDescent="0.25">
      <c r="A297" s="9">
        <v>11</v>
      </c>
      <c r="B297" s="9" t="s">
        <v>540</v>
      </c>
      <c r="C297" s="9" t="s">
        <v>1</v>
      </c>
      <c r="D297" s="9">
        <v>2</v>
      </c>
    </row>
    <row r="298" spans="1:4" x14ac:dyDescent="0.25">
      <c r="A298" s="9">
        <v>11</v>
      </c>
      <c r="B298" s="9" t="s">
        <v>551</v>
      </c>
      <c r="C298" s="9" t="s">
        <v>1</v>
      </c>
      <c r="D298" s="9">
        <v>2</v>
      </c>
    </row>
    <row r="299" spans="1:4" x14ac:dyDescent="0.25">
      <c r="A299" s="9">
        <v>11</v>
      </c>
      <c r="B299" s="9" t="s">
        <v>564</v>
      </c>
      <c r="C299" s="9" t="s">
        <v>1</v>
      </c>
      <c r="D299" s="9">
        <v>2</v>
      </c>
    </row>
    <row r="300" spans="1:4" x14ac:dyDescent="0.25">
      <c r="A300" s="9">
        <v>11</v>
      </c>
      <c r="B300" s="9" t="s">
        <v>575</v>
      </c>
      <c r="C300" s="9" t="s">
        <v>1</v>
      </c>
      <c r="D300" s="9">
        <v>2</v>
      </c>
    </row>
    <row r="301" spans="1:4" x14ac:dyDescent="0.25">
      <c r="A301" s="9">
        <v>11</v>
      </c>
      <c r="B301" s="9" t="s">
        <v>287</v>
      </c>
      <c r="C301" s="9" t="s">
        <v>2</v>
      </c>
      <c r="D301" s="9">
        <v>3</v>
      </c>
    </row>
    <row r="302" spans="1:4" x14ac:dyDescent="0.25">
      <c r="A302" s="9">
        <v>11</v>
      </c>
      <c r="B302" s="9" t="s">
        <v>299</v>
      </c>
      <c r="C302" s="9" t="s">
        <v>2</v>
      </c>
      <c r="D302" s="9">
        <v>3</v>
      </c>
    </row>
    <row r="303" spans="1:4" x14ac:dyDescent="0.25">
      <c r="A303" s="9">
        <v>11</v>
      </c>
      <c r="B303" s="9" t="s">
        <v>312</v>
      </c>
      <c r="C303" s="9" t="s">
        <v>2</v>
      </c>
      <c r="D303" s="9">
        <v>3</v>
      </c>
    </row>
    <row r="304" spans="1:4" x14ac:dyDescent="0.25">
      <c r="A304" s="9">
        <v>12</v>
      </c>
      <c r="B304" s="9" t="s">
        <v>292</v>
      </c>
      <c r="C304" s="9" t="s">
        <v>1</v>
      </c>
      <c r="D304" s="9">
        <v>2</v>
      </c>
    </row>
    <row r="305" spans="1:4" x14ac:dyDescent="0.25">
      <c r="A305" s="9">
        <v>12</v>
      </c>
      <c r="B305" s="9" t="s">
        <v>300</v>
      </c>
      <c r="C305" s="9" t="s">
        <v>1</v>
      </c>
      <c r="D305" s="9">
        <v>2</v>
      </c>
    </row>
    <row r="306" spans="1:4" x14ac:dyDescent="0.25">
      <c r="A306" s="9">
        <v>12</v>
      </c>
      <c r="B306" s="9" t="s">
        <v>311</v>
      </c>
      <c r="C306" s="9" t="s">
        <v>1</v>
      </c>
      <c r="D306" s="9">
        <v>2</v>
      </c>
    </row>
    <row r="307" spans="1:4" x14ac:dyDescent="0.25">
      <c r="A307" s="9">
        <v>12</v>
      </c>
      <c r="B307" s="9" t="s">
        <v>323</v>
      </c>
      <c r="C307" s="9" t="s">
        <v>1</v>
      </c>
      <c r="D307" s="9">
        <v>2</v>
      </c>
    </row>
    <row r="308" spans="1:4" x14ac:dyDescent="0.25">
      <c r="A308" s="9">
        <v>12</v>
      </c>
      <c r="B308" s="9" t="s">
        <v>337</v>
      </c>
      <c r="C308" s="9" t="s">
        <v>1</v>
      </c>
      <c r="D308" s="9">
        <v>2</v>
      </c>
    </row>
    <row r="309" spans="1:4" x14ac:dyDescent="0.25">
      <c r="A309" s="9">
        <v>12</v>
      </c>
      <c r="B309" s="9" t="s">
        <v>348</v>
      </c>
      <c r="C309" s="9" t="s">
        <v>1</v>
      </c>
      <c r="D309" s="9">
        <v>2</v>
      </c>
    </row>
    <row r="310" spans="1:4" x14ac:dyDescent="0.25">
      <c r="A310" s="9">
        <v>12</v>
      </c>
      <c r="B310" s="9" t="s">
        <v>358</v>
      </c>
      <c r="C310" s="9" t="s">
        <v>1</v>
      </c>
      <c r="D310" s="9">
        <v>2</v>
      </c>
    </row>
    <row r="311" spans="1:4" x14ac:dyDescent="0.25">
      <c r="A311" s="9">
        <v>12</v>
      </c>
      <c r="B311" s="9" t="s">
        <v>370</v>
      </c>
      <c r="C311" s="9" t="s">
        <v>1</v>
      </c>
      <c r="D311" s="9">
        <v>2</v>
      </c>
    </row>
    <row r="312" spans="1:4" x14ac:dyDescent="0.25">
      <c r="A312" s="9">
        <v>12</v>
      </c>
      <c r="B312" s="9" t="s">
        <v>382</v>
      </c>
      <c r="C312" s="9" t="s">
        <v>1</v>
      </c>
      <c r="D312" s="9">
        <v>2</v>
      </c>
    </row>
    <row r="313" spans="1:4" x14ac:dyDescent="0.25">
      <c r="A313" s="9">
        <v>12</v>
      </c>
      <c r="B313" s="9" t="s">
        <v>392</v>
      </c>
      <c r="C313" s="9" t="s">
        <v>1</v>
      </c>
      <c r="D313" s="9">
        <v>2</v>
      </c>
    </row>
    <row r="314" spans="1:4" x14ac:dyDescent="0.25">
      <c r="A314" s="9">
        <v>12</v>
      </c>
      <c r="B314" s="9" t="s">
        <v>404</v>
      </c>
      <c r="C314" s="9" t="s">
        <v>1</v>
      </c>
      <c r="D314" s="9">
        <v>2</v>
      </c>
    </row>
    <row r="315" spans="1:4" x14ac:dyDescent="0.25">
      <c r="A315" s="9">
        <v>12</v>
      </c>
      <c r="B315" s="9" t="s">
        <v>416</v>
      </c>
      <c r="C315" s="9" t="s">
        <v>1</v>
      </c>
      <c r="D315" s="9">
        <v>2</v>
      </c>
    </row>
    <row r="316" spans="1:4" x14ac:dyDescent="0.25">
      <c r="A316" s="9">
        <v>12</v>
      </c>
      <c r="B316" s="9" t="s">
        <v>429</v>
      </c>
      <c r="C316" s="9" t="s">
        <v>1</v>
      </c>
      <c r="D316" s="9">
        <v>2</v>
      </c>
    </row>
    <row r="317" spans="1:4" x14ac:dyDescent="0.25">
      <c r="A317" s="9">
        <v>12</v>
      </c>
      <c r="B317" s="9" t="s">
        <v>440</v>
      </c>
      <c r="C317" s="9" t="s">
        <v>1</v>
      </c>
      <c r="D317" s="9">
        <v>2</v>
      </c>
    </row>
    <row r="318" spans="1:4" x14ac:dyDescent="0.25">
      <c r="A318" s="9">
        <v>12</v>
      </c>
      <c r="B318" s="9" t="s">
        <v>452</v>
      </c>
      <c r="C318" s="9" t="s">
        <v>1</v>
      </c>
      <c r="D318" s="9">
        <v>2</v>
      </c>
    </row>
    <row r="319" spans="1:4" x14ac:dyDescent="0.25">
      <c r="A319" s="9">
        <v>12</v>
      </c>
      <c r="B319" s="9" t="s">
        <v>463</v>
      </c>
      <c r="C319" s="9" t="s">
        <v>1</v>
      </c>
      <c r="D319" s="9">
        <v>2</v>
      </c>
    </row>
    <row r="320" spans="1:4" x14ac:dyDescent="0.25">
      <c r="A320" s="9">
        <v>12</v>
      </c>
      <c r="B320" s="9" t="s">
        <v>476</v>
      </c>
      <c r="C320" s="9" t="s">
        <v>1</v>
      </c>
      <c r="D320" s="9">
        <v>2</v>
      </c>
    </row>
    <row r="321" spans="1:4" x14ac:dyDescent="0.25">
      <c r="A321" s="9">
        <v>12</v>
      </c>
      <c r="B321" s="9" t="s">
        <v>487</v>
      </c>
      <c r="C321" s="9" t="s">
        <v>1</v>
      </c>
      <c r="D321" s="9">
        <v>2</v>
      </c>
    </row>
    <row r="322" spans="1:4" x14ac:dyDescent="0.25">
      <c r="A322" s="9">
        <v>12</v>
      </c>
      <c r="B322" s="9" t="s">
        <v>501</v>
      </c>
      <c r="C322" s="9" t="s">
        <v>1</v>
      </c>
      <c r="D322" s="9">
        <v>2</v>
      </c>
    </row>
    <row r="323" spans="1:4" x14ac:dyDescent="0.25">
      <c r="A323" s="9">
        <v>12</v>
      </c>
      <c r="B323" s="9" t="s">
        <v>517</v>
      </c>
      <c r="C323" s="9" t="s">
        <v>1</v>
      </c>
      <c r="D323" s="9">
        <v>2</v>
      </c>
    </row>
    <row r="324" spans="1:4" x14ac:dyDescent="0.25">
      <c r="A324" s="9">
        <v>12</v>
      </c>
      <c r="B324" s="9" t="s">
        <v>529</v>
      </c>
      <c r="C324" s="9" t="s">
        <v>1</v>
      </c>
      <c r="D324" s="9">
        <v>2</v>
      </c>
    </row>
    <row r="325" spans="1:4" x14ac:dyDescent="0.25">
      <c r="A325" s="9">
        <v>12</v>
      </c>
      <c r="B325" s="9" t="s">
        <v>541</v>
      </c>
      <c r="C325" s="9" t="s">
        <v>1</v>
      </c>
      <c r="D325" s="9">
        <v>2</v>
      </c>
    </row>
    <row r="326" spans="1:4" x14ac:dyDescent="0.25">
      <c r="A326" s="9">
        <v>12</v>
      </c>
      <c r="B326" s="9" t="s">
        <v>553</v>
      </c>
      <c r="C326" s="9" t="s">
        <v>1</v>
      </c>
      <c r="D326" s="9">
        <v>2</v>
      </c>
    </row>
    <row r="327" spans="1:4" x14ac:dyDescent="0.25">
      <c r="A327" s="9">
        <v>12</v>
      </c>
      <c r="B327" s="9" t="s">
        <v>565</v>
      </c>
      <c r="C327" s="9" t="s">
        <v>1</v>
      </c>
      <c r="D327" s="9">
        <v>2</v>
      </c>
    </row>
    <row r="328" spans="1:4" x14ac:dyDescent="0.25">
      <c r="A328" s="9">
        <v>12</v>
      </c>
      <c r="B328" s="9" t="s">
        <v>576</v>
      </c>
      <c r="C328" s="9" t="s">
        <v>1</v>
      </c>
      <c r="D328" s="9">
        <v>2</v>
      </c>
    </row>
    <row r="329" spans="1:4" x14ac:dyDescent="0.25">
      <c r="A329" s="9">
        <v>12</v>
      </c>
      <c r="B329" s="9" t="s">
        <v>288</v>
      </c>
      <c r="C329" s="9" t="s">
        <v>2</v>
      </c>
      <c r="D329" s="9">
        <v>3</v>
      </c>
    </row>
    <row r="330" spans="1:4" x14ac:dyDescent="0.25">
      <c r="A330" s="9">
        <v>12</v>
      </c>
      <c r="B330" s="9" t="s">
        <v>300</v>
      </c>
      <c r="C330" s="9" t="s">
        <v>2</v>
      </c>
      <c r="D330" s="9">
        <v>3</v>
      </c>
    </row>
    <row r="331" spans="1:4" x14ac:dyDescent="0.25">
      <c r="A331" s="9">
        <v>12</v>
      </c>
      <c r="B331" s="9" t="s">
        <v>311</v>
      </c>
      <c r="C331" s="9" t="s">
        <v>2</v>
      </c>
      <c r="D331" s="9">
        <v>3</v>
      </c>
    </row>
    <row r="332" spans="1:4" x14ac:dyDescent="0.25">
      <c r="A332" s="9">
        <v>12</v>
      </c>
      <c r="B332" s="9" t="s">
        <v>313</v>
      </c>
      <c r="C332" s="9" t="s">
        <v>2</v>
      </c>
      <c r="D332" s="9">
        <v>3</v>
      </c>
    </row>
    <row r="333" spans="1:4" x14ac:dyDescent="0.25">
      <c r="A333" s="9">
        <v>12</v>
      </c>
      <c r="B333" s="9" t="s">
        <v>314</v>
      </c>
      <c r="C333" s="9" t="s">
        <v>2</v>
      </c>
      <c r="D333" s="9">
        <v>3</v>
      </c>
    </row>
    <row r="334" spans="1:4" x14ac:dyDescent="0.25">
      <c r="A334" s="9">
        <v>12</v>
      </c>
      <c r="B334" s="9" t="s">
        <v>315</v>
      </c>
      <c r="C334" s="9" t="s">
        <v>2</v>
      </c>
      <c r="D334" s="9">
        <v>3</v>
      </c>
    </row>
    <row r="335" spans="1:4" x14ac:dyDescent="0.25">
      <c r="A335" s="9">
        <v>12</v>
      </c>
      <c r="B335" s="9" t="s">
        <v>316</v>
      </c>
      <c r="C335" s="9" t="s">
        <v>2</v>
      </c>
      <c r="D335" s="9">
        <v>3</v>
      </c>
    </row>
    <row r="336" spans="1:4" x14ac:dyDescent="0.25">
      <c r="A336" s="9">
        <v>12</v>
      </c>
      <c r="B336" s="9" t="s">
        <v>317</v>
      </c>
      <c r="C336" s="9" t="s">
        <v>2</v>
      </c>
      <c r="D336" s="9">
        <v>3</v>
      </c>
    </row>
    <row r="337" spans="1:4" x14ac:dyDescent="0.25">
      <c r="A337" s="9">
        <v>12</v>
      </c>
      <c r="B337" s="9" t="s">
        <v>318</v>
      </c>
      <c r="C337" s="9" t="s">
        <v>2</v>
      </c>
      <c r="D337" s="9">
        <v>3</v>
      </c>
    </row>
    <row r="338" spans="1:4" x14ac:dyDescent="0.25">
      <c r="A338" s="9">
        <v>12</v>
      </c>
      <c r="B338" s="9" t="s">
        <v>319</v>
      </c>
      <c r="C338" s="9" t="s">
        <v>2</v>
      </c>
      <c r="D338" s="9">
        <v>3</v>
      </c>
    </row>
    <row r="339" spans="1:4" x14ac:dyDescent="0.25">
      <c r="A339" s="9">
        <v>12</v>
      </c>
      <c r="B339" s="9" t="s">
        <v>320</v>
      </c>
      <c r="C339" s="9" t="s">
        <v>2</v>
      </c>
      <c r="D339" s="9">
        <v>3</v>
      </c>
    </row>
    <row r="340" spans="1:4" x14ac:dyDescent="0.25">
      <c r="A340" s="9">
        <v>12</v>
      </c>
      <c r="B340" s="9" t="s">
        <v>321</v>
      </c>
      <c r="C340" s="9" t="s">
        <v>2</v>
      </c>
      <c r="D340" s="9">
        <v>3</v>
      </c>
    </row>
    <row r="341" spans="1:4" x14ac:dyDescent="0.25">
      <c r="A341" s="9">
        <v>12</v>
      </c>
      <c r="B341" s="9" t="s">
        <v>322</v>
      </c>
      <c r="C341" s="9" t="s">
        <v>2</v>
      </c>
      <c r="D341" s="9">
        <v>3</v>
      </c>
    </row>
    <row r="342" spans="1:4" x14ac:dyDescent="0.25">
      <c r="A342" s="9">
        <v>12</v>
      </c>
      <c r="B342" s="9" t="s">
        <v>323</v>
      </c>
      <c r="C342" s="9" t="s">
        <v>2</v>
      </c>
      <c r="D342" s="9">
        <v>3</v>
      </c>
    </row>
    <row r="343" spans="1:4" x14ac:dyDescent="0.25">
      <c r="A343" s="9">
        <v>12</v>
      </c>
      <c r="B343" s="9" t="s">
        <v>324</v>
      </c>
      <c r="C343" s="9" t="s">
        <v>2</v>
      </c>
      <c r="D343" s="9">
        <v>3</v>
      </c>
    </row>
    <row r="344" spans="1:4" x14ac:dyDescent="0.25">
      <c r="A344" s="9">
        <v>12</v>
      </c>
      <c r="B344" s="9" t="s">
        <v>325</v>
      </c>
      <c r="C344" s="9" t="s">
        <v>2</v>
      </c>
      <c r="D344" s="9">
        <v>3</v>
      </c>
    </row>
    <row r="345" spans="1:4" x14ac:dyDescent="0.25">
      <c r="A345" s="9">
        <v>12</v>
      </c>
      <c r="B345" s="9" t="s">
        <v>326</v>
      </c>
      <c r="C345" s="9" t="s">
        <v>2</v>
      </c>
      <c r="D345" s="9">
        <v>3</v>
      </c>
    </row>
    <row r="346" spans="1:4" x14ac:dyDescent="0.25">
      <c r="A346" s="9">
        <v>12</v>
      </c>
      <c r="B346" s="9" t="s">
        <v>327</v>
      </c>
      <c r="C346" s="9" t="s">
        <v>2</v>
      </c>
      <c r="D346" s="9">
        <v>3</v>
      </c>
    </row>
    <row r="347" spans="1:4" x14ac:dyDescent="0.25">
      <c r="A347" s="9">
        <v>12</v>
      </c>
      <c r="B347" s="9" t="s">
        <v>328</v>
      </c>
      <c r="C347" s="9" t="s">
        <v>2</v>
      </c>
      <c r="D347" s="9">
        <v>3</v>
      </c>
    </row>
    <row r="348" spans="1:4" x14ac:dyDescent="0.25">
      <c r="A348" s="9">
        <v>12</v>
      </c>
      <c r="B348" s="9" t="s">
        <v>329</v>
      </c>
      <c r="C348" s="9" t="s">
        <v>2</v>
      </c>
      <c r="D348" s="9">
        <v>3</v>
      </c>
    </row>
    <row r="349" spans="1:4" x14ac:dyDescent="0.25">
      <c r="A349" s="9">
        <v>12</v>
      </c>
      <c r="B349" s="9" t="s">
        <v>330</v>
      </c>
      <c r="C349" s="9" t="s">
        <v>2</v>
      </c>
      <c r="D349" s="9">
        <v>3</v>
      </c>
    </row>
    <row r="350" spans="1:4" x14ac:dyDescent="0.25">
      <c r="A350" s="9">
        <v>12</v>
      </c>
      <c r="B350" s="9" t="s">
        <v>331</v>
      </c>
      <c r="C350" s="9" t="s">
        <v>2</v>
      </c>
      <c r="D350" s="9">
        <v>3</v>
      </c>
    </row>
    <row r="351" spans="1:4" x14ac:dyDescent="0.25">
      <c r="A351" s="9">
        <v>12</v>
      </c>
      <c r="B351" s="9" t="s">
        <v>332</v>
      </c>
      <c r="C351" s="9" t="s">
        <v>2</v>
      </c>
      <c r="D351" s="9">
        <v>3</v>
      </c>
    </row>
    <row r="352" spans="1:4" x14ac:dyDescent="0.25">
      <c r="A352" s="9">
        <v>12</v>
      </c>
      <c r="B352" s="9" t="s">
        <v>333</v>
      </c>
      <c r="C352" s="9" t="s">
        <v>2</v>
      </c>
      <c r="D352" s="9">
        <v>3</v>
      </c>
    </row>
    <row r="353" spans="1:4" x14ac:dyDescent="0.25">
      <c r="A353" s="9">
        <v>12</v>
      </c>
      <c r="B353" s="9" t="s">
        <v>334</v>
      </c>
      <c r="C353" s="9" t="s">
        <v>2</v>
      </c>
      <c r="D353" s="9">
        <v>3</v>
      </c>
    </row>
    <row r="354" spans="1:4" x14ac:dyDescent="0.25">
      <c r="A354" s="9">
        <v>12</v>
      </c>
      <c r="B354" s="9" t="s">
        <v>335</v>
      </c>
      <c r="C354" s="9" t="s">
        <v>2</v>
      </c>
      <c r="D354" s="9">
        <v>3</v>
      </c>
    </row>
    <row r="355" spans="1:4" x14ac:dyDescent="0.25">
      <c r="A355" s="9">
        <v>12</v>
      </c>
      <c r="B355" s="9" t="s">
        <v>336</v>
      </c>
      <c r="C355" s="9" t="s">
        <v>2</v>
      </c>
      <c r="D355" s="9">
        <v>3</v>
      </c>
    </row>
    <row r="356" spans="1:4" x14ac:dyDescent="0.25">
      <c r="A356" s="9">
        <v>12</v>
      </c>
      <c r="B356" s="9" t="s">
        <v>337</v>
      </c>
      <c r="C356" s="9" t="s">
        <v>2</v>
      </c>
      <c r="D356" s="9">
        <v>3</v>
      </c>
    </row>
    <row r="357" spans="1:4" x14ac:dyDescent="0.25">
      <c r="A357" s="9">
        <v>12</v>
      </c>
      <c r="B357" s="9" t="s">
        <v>338</v>
      </c>
      <c r="C357" s="9" t="s">
        <v>2</v>
      </c>
      <c r="D357" s="9">
        <v>3</v>
      </c>
    </row>
    <row r="358" spans="1:4" x14ac:dyDescent="0.25">
      <c r="A358" s="9">
        <v>12</v>
      </c>
      <c r="B358" s="9" t="s">
        <v>339</v>
      </c>
      <c r="C358" s="9" t="s">
        <v>2</v>
      </c>
      <c r="D358" s="9">
        <v>3</v>
      </c>
    </row>
    <row r="359" spans="1:4" x14ac:dyDescent="0.25">
      <c r="A359" s="9">
        <v>12</v>
      </c>
      <c r="B359" s="9" t="s">
        <v>340</v>
      </c>
      <c r="C359" s="9" t="s">
        <v>2</v>
      </c>
      <c r="D359" s="9">
        <v>3</v>
      </c>
    </row>
    <row r="360" spans="1:4" x14ac:dyDescent="0.25">
      <c r="A360" s="9">
        <v>12</v>
      </c>
      <c r="B360" s="9" t="s">
        <v>341</v>
      </c>
      <c r="C360" s="9" t="s">
        <v>2</v>
      </c>
      <c r="D360" s="9">
        <v>3</v>
      </c>
    </row>
    <row r="361" spans="1:4" x14ac:dyDescent="0.25">
      <c r="A361" s="9">
        <v>12</v>
      </c>
      <c r="B361" s="9" t="s">
        <v>342</v>
      </c>
      <c r="C361" s="9" t="s">
        <v>2</v>
      </c>
      <c r="D361" s="9">
        <v>3</v>
      </c>
    </row>
    <row r="362" spans="1:4" x14ac:dyDescent="0.25">
      <c r="A362" s="9">
        <v>12</v>
      </c>
      <c r="B362" s="9" t="s">
        <v>343</v>
      </c>
      <c r="C362" s="9" t="s">
        <v>2</v>
      </c>
      <c r="D362" s="9">
        <v>3</v>
      </c>
    </row>
    <row r="363" spans="1:4" x14ac:dyDescent="0.25">
      <c r="A363" s="9">
        <v>12</v>
      </c>
      <c r="B363" s="9" t="s">
        <v>344</v>
      </c>
      <c r="C363" s="9" t="s">
        <v>2</v>
      </c>
      <c r="D363" s="9">
        <v>3</v>
      </c>
    </row>
    <row r="364" spans="1:4" x14ac:dyDescent="0.25">
      <c r="A364" s="9">
        <v>12</v>
      </c>
      <c r="B364" s="9" t="s">
        <v>345</v>
      </c>
      <c r="C364" s="9" t="s">
        <v>2</v>
      </c>
      <c r="D364" s="9">
        <v>3</v>
      </c>
    </row>
    <row r="365" spans="1:4" x14ac:dyDescent="0.25">
      <c r="A365" s="9">
        <v>12</v>
      </c>
      <c r="B365" s="9" t="s">
        <v>346</v>
      </c>
      <c r="C365" s="9" t="s">
        <v>2</v>
      </c>
      <c r="D365" s="9">
        <v>3</v>
      </c>
    </row>
    <row r="366" spans="1:4" x14ac:dyDescent="0.25">
      <c r="A366" s="9">
        <v>12</v>
      </c>
      <c r="B366" s="9" t="s">
        <v>347</v>
      </c>
      <c r="C366" s="9" t="s">
        <v>2</v>
      </c>
      <c r="D366" s="9">
        <v>3</v>
      </c>
    </row>
    <row r="367" spans="1:4" x14ac:dyDescent="0.25">
      <c r="A367" s="9">
        <v>12</v>
      </c>
      <c r="B367" s="9" t="s">
        <v>348</v>
      </c>
      <c r="C367" s="9" t="s">
        <v>2</v>
      </c>
      <c r="D367" s="9">
        <v>3</v>
      </c>
    </row>
    <row r="368" spans="1:4" x14ac:dyDescent="0.25">
      <c r="A368" s="9">
        <v>12</v>
      </c>
      <c r="B368" s="9" t="s">
        <v>349</v>
      </c>
      <c r="C368" s="9" t="s">
        <v>2</v>
      </c>
      <c r="D368" s="9">
        <v>3</v>
      </c>
    </row>
    <row r="369" spans="1:4" x14ac:dyDescent="0.25">
      <c r="A369" s="9">
        <v>12</v>
      </c>
      <c r="B369" s="9" t="s">
        <v>350</v>
      </c>
      <c r="C369" s="9" t="s">
        <v>2</v>
      </c>
      <c r="D369" s="9">
        <v>3</v>
      </c>
    </row>
    <row r="370" spans="1:4" x14ac:dyDescent="0.25">
      <c r="A370" s="9">
        <v>12</v>
      </c>
      <c r="B370" s="9" t="s">
        <v>351</v>
      </c>
      <c r="C370" s="9" t="s">
        <v>2</v>
      </c>
      <c r="D370" s="9">
        <v>3</v>
      </c>
    </row>
    <row r="371" spans="1:4" x14ac:dyDescent="0.25">
      <c r="A371" s="9">
        <v>12</v>
      </c>
      <c r="B371" s="9" t="s">
        <v>352</v>
      </c>
      <c r="C371" s="9" t="s">
        <v>2</v>
      </c>
      <c r="D371" s="9">
        <v>3</v>
      </c>
    </row>
    <row r="372" spans="1:4" x14ac:dyDescent="0.25">
      <c r="A372" s="9">
        <v>12</v>
      </c>
      <c r="B372" s="9" t="s">
        <v>353</v>
      </c>
      <c r="C372" s="9" t="s">
        <v>2</v>
      </c>
      <c r="D372" s="9">
        <v>3</v>
      </c>
    </row>
    <row r="373" spans="1:4" x14ac:dyDescent="0.25">
      <c r="A373" s="9">
        <v>12</v>
      </c>
      <c r="B373" s="9" t="s">
        <v>354</v>
      </c>
      <c r="C373" s="9" t="s">
        <v>2</v>
      </c>
      <c r="D373" s="9">
        <v>3</v>
      </c>
    </row>
    <row r="374" spans="1:4" x14ac:dyDescent="0.25">
      <c r="A374" s="9">
        <v>12</v>
      </c>
      <c r="B374" s="9" t="s">
        <v>355</v>
      </c>
      <c r="C374" s="9" t="s">
        <v>2</v>
      </c>
      <c r="D374" s="9">
        <v>3</v>
      </c>
    </row>
    <row r="375" spans="1:4" x14ac:dyDescent="0.25">
      <c r="A375" s="9">
        <v>12</v>
      </c>
      <c r="B375" s="9" t="s">
        <v>356</v>
      </c>
      <c r="C375" s="9" t="s">
        <v>2</v>
      </c>
      <c r="D375" s="9">
        <v>3</v>
      </c>
    </row>
    <row r="376" spans="1:4" x14ac:dyDescent="0.25">
      <c r="A376" s="9">
        <v>12</v>
      </c>
      <c r="B376" s="9" t="s">
        <v>357</v>
      </c>
      <c r="C376" s="9" t="s">
        <v>2</v>
      </c>
      <c r="D376" s="9">
        <v>3</v>
      </c>
    </row>
    <row r="377" spans="1:4" x14ac:dyDescent="0.25">
      <c r="A377" s="9">
        <v>12</v>
      </c>
      <c r="B377" s="9" t="s">
        <v>358</v>
      </c>
      <c r="C377" s="9" t="s">
        <v>2</v>
      </c>
      <c r="D377" s="9">
        <v>3</v>
      </c>
    </row>
    <row r="378" spans="1:4" x14ac:dyDescent="0.25">
      <c r="A378" s="9">
        <v>12</v>
      </c>
      <c r="B378" s="9" t="s">
        <v>359</v>
      </c>
      <c r="C378" s="9" t="s">
        <v>2</v>
      </c>
      <c r="D378" s="9">
        <v>3</v>
      </c>
    </row>
    <row r="379" spans="1:4" x14ac:dyDescent="0.25">
      <c r="A379" s="9">
        <v>12</v>
      </c>
      <c r="B379" s="9" t="s">
        <v>360</v>
      </c>
      <c r="C379" s="9" t="s">
        <v>2</v>
      </c>
      <c r="D379" s="9">
        <v>3</v>
      </c>
    </row>
    <row r="380" spans="1:4" x14ac:dyDescent="0.25">
      <c r="A380" s="9">
        <v>12</v>
      </c>
      <c r="B380" s="9" t="s">
        <v>361</v>
      </c>
      <c r="C380" s="9" t="s">
        <v>2</v>
      </c>
      <c r="D380" s="9">
        <v>3</v>
      </c>
    </row>
    <row r="381" spans="1:4" x14ac:dyDescent="0.25">
      <c r="A381" s="9">
        <v>12</v>
      </c>
      <c r="B381" s="9" t="s">
        <v>362</v>
      </c>
      <c r="C381" s="9" t="s">
        <v>2</v>
      </c>
      <c r="D381" s="9">
        <v>3</v>
      </c>
    </row>
    <row r="382" spans="1:4" x14ac:dyDescent="0.25">
      <c r="A382" s="9">
        <v>12</v>
      </c>
      <c r="B382" s="9" t="s">
        <v>363</v>
      </c>
      <c r="C382" s="9" t="s">
        <v>2</v>
      </c>
      <c r="D382" s="9">
        <v>3</v>
      </c>
    </row>
    <row r="383" spans="1:4" x14ac:dyDescent="0.25">
      <c r="A383" s="9">
        <v>12</v>
      </c>
      <c r="B383" s="9" t="s">
        <v>364</v>
      </c>
      <c r="C383" s="9" t="s">
        <v>2</v>
      </c>
      <c r="D383" s="9">
        <v>3</v>
      </c>
    </row>
    <row r="384" spans="1:4" x14ac:dyDescent="0.25">
      <c r="A384" s="9">
        <v>12</v>
      </c>
      <c r="B384" s="9" t="s">
        <v>365</v>
      </c>
      <c r="C384" s="9" t="s">
        <v>2</v>
      </c>
      <c r="D384" s="9">
        <v>3</v>
      </c>
    </row>
    <row r="385" spans="1:4" x14ac:dyDescent="0.25">
      <c r="A385" s="9">
        <v>12</v>
      </c>
      <c r="B385" s="9" t="s">
        <v>366</v>
      </c>
      <c r="C385" s="9" t="s">
        <v>2</v>
      </c>
      <c r="D385" s="9">
        <v>3</v>
      </c>
    </row>
    <row r="386" spans="1:4" x14ac:dyDescent="0.25">
      <c r="A386" s="9">
        <v>12</v>
      </c>
      <c r="B386" s="9" t="s">
        <v>367</v>
      </c>
      <c r="C386" s="9" t="s">
        <v>2</v>
      </c>
      <c r="D386" s="9">
        <v>3</v>
      </c>
    </row>
    <row r="387" spans="1:4" x14ac:dyDescent="0.25">
      <c r="A387" s="9">
        <v>12</v>
      </c>
      <c r="B387" s="9" t="s">
        <v>368</v>
      </c>
      <c r="C387" s="9" t="s">
        <v>2</v>
      </c>
      <c r="D387" s="9">
        <v>3</v>
      </c>
    </row>
    <row r="388" spans="1:4" x14ac:dyDescent="0.25">
      <c r="A388" s="9">
        <v>12</v>
      </c>
      <c r="B388" s="9" t="s">
        <v>369</v>
      </c>
      <c r="C388" s="9" t="s">
        <v>2</v>
      </c>
      <c r="D388" s="9">
        <v>3</v>
      </c>
    </row>
    <row r="389" spans="1:4" x14ac:dyDescent="0.25">
      <c r="A389" s="9">
        <v>12</v>
      </c>
      <c r="B389" s="9" t="s">
        <v>370</v>
      </c>
      <c r="C389" s="9" t="s">
        <v>2</v>
      </c>
      <c r="D389" s="9">
        <v>3</v>
      </c>
    </row>
    <row r="390" spans="1:4" x14ac:dyDescent="0.25">
      <c r="A390" s="9">
        <v>12</v>
      </c>
      <c r="B390" s="9" t="s">
        <v>371</v>
      </c>
      <c r="C390" s="9" t="s">
        <v>2</v>
      </c>
      <c r="D390" s="9">
        <v>3</v>
      </c>
    </row>
    <row r="391" spans="1:4" x14ac:dyDescent="0.25">
      <c r="A391" s="9">
        <v>12</v>
      </c>
      <c r="B391" s="9" t="s">
        <v>372</v>
      </c>
      <c r="C391" s="9" t="s">
        <v>2</v>
      </c>
      <c r="D391" s="9">
        <v>3</v>
      </c>
    </row>
    <row r="392" spans="1:4" x14ac:dyDescent="0.25">
      <c r="A392" s="9">
        <v>12</v>
      </c>
      <c r="B392" s="9" t="s">
        <v>373</v>
      </c>
      <c r="C392" s="9" t="s">
        <v>2</v>
      </c>
      <c r="D392" s="9">
        <v>3</v>
      </c>
    </row>
    <row r="393" spans="1:4" x14ac:dyDescent="0.25">
      <c r="A393" s="9">
        <v>12</v>
      </c>
      <c r="B393" s="9" t="s">
        <v>374</v>
      </c>
      <c r="C393" s="9" t="s">
        <v>2</v>
      </c>
      <c r="D393" s="9">
        <v>3</v>
      </c>
    </row>
    <row r="394" spans="1:4" x14ac:dyDescent="0.25">
      <c r="A394" s="9">
        <v>12</v>
      </c>
      <c r="B394" s="9" t="s">
        <v>375</v>
      </c>
      <c r="C394" s="9" t="s">
        <v>2</v>
      </c>
      <c r="D394" s="9">
        <v>3</v>
      </c>
    </row>
    <row r="395" spans="1:4" x14ac:dyDescent="0.25">
      <c r="A395" s="9">
        <v>12</v>
      </c>
      <c r="B395" s="9" t="s">
        <v>376</v>
      </c>
      <c r="C395" s="9" t="s">
        <v>2</v>
      </c>
      <c r="D395" s="9">
        <v>3</v>
      </c>
    </row>
    <row r="396" spans="1:4" x14ac:dyDescent="0.25">
      <c r="A396" s="9">
        <v>12</v>
      </c>
      <c r="B396" s="9" t="s">
        <v>377</v>
      </c>
      <c r="C396" s="9" t="s">
        <v>2</v>
      </c>
      <c r="D396" s="9">
        <v>3</v>
      </c>
    </row>
    <row r="397" spans="1:4" x14ac:dyDescent="0.25">
      <c r="A397" s="9">
        <v>12</v>
      </c>
      <c r="B397" s="9" t="s">
        <v>378</v>
      </c>
      <c r="C397" s="9" t="s">
        <v>2</v>
      </c>
      <c r="D397" s="9">
        <v>3</v>
      </c>
    </row>
    <row r="398" spans="1:4" x14ac:dyDescent="0.25">
      <c r="A398" s="9">
        <v>12</v>
      </c>
      <c r="B398" s="9" t="s">
        <v>379</v>
      </c>
      <c r="C398" s="9" t="s">
        <v>2</v>
      </c>
      <c r="D398" s="9">
        <v>3</v>
      </c>
    </row>
    <row r="399" spans="1:4" x14ac:dyDescent="0.25">
      <c r="A399" s="9">
        <v>12</v>
      </c>
      <c r="B399" s="9" t="s">
        <v>380</v>
      </c>
      <c r="C399" s="9" t="s">
        <v>2</v>
      </c>
      <c r="D399" s="9">
        <v>3</v>
      </c>
    </row>
    <row r="400" spans="1:4" x14ac:dyDescent="0.25">
      <c r="A400" s="9">
        <v>12</v>
      </c>
      <c r="B400" s="9" t="s">
        <v>381</v>
      </c>
      <c r="C400" s="9" t="s">
        <v>2</v>
      </c>
      <c r="D400" s="9">
        <v>3</v>
      </c>
    </row>
    <row r="401" spans="1:4" x14ac:dyDescent="0.25">
      <c r="A401" s="9">
        <v>12</v>
      </c>
      <c r="B401" s="9" t="s">
        <v>382</v>
      </c>
      <c r="C401" s="9" t="s">
        <v>2</v>
      </c>
      <c r="D401" s="9">
        <v>3</v>
      </c>
    </row>
    <row r="402" spans="1:4" x14ac:dyDescent="0.25">
      <c r="A402" s="9">
        <v>12</v>
      </c>
      <c r="B402" s="9" t="s">
        <v>383</v>
      </c>
      <c r="C402" s="9" t="s">
        <v>2</v>
      </c>
      <c r="D402" s="9">
        <v>3</v>
      </c>
    </row>
    <row r="403" spans="1:4" x14ac:dyDescent="0.25">
      <c r="A403" s="9">
        <v>12</v>
      </c>
      <c r="B403" s="9" t="s">
        <v>384</v>
      </c>
      <c r="C403" s="9" t="s">
        <v>2</v>
      </c>
      <c r="D403" s="9">
        <v>3</v>
      </c>
    </row>
    <row r="404" spans="1:4" x14ac:dyDescent="0.25">
      <c r="A404" s="9">
        <v>12</v>
      </c>
      <c r="B404" s="9" t="s">
        <v>385</v>
      </c>
      <c r="C404" s="9" t="s">
        <v>2</v>
      </c>
      <c r="D404" s="9">
        <v>3</v>
      </c>
    </row>
    <row r="405" spans="1:4" x14ac:dyDescent="0.25">
      <c r="A405" s="9">
        <v>12</v>
      </c>
      <c r="B405" s="9" t="s">
        <v>386</v>
      </c>
      <c r="C405" s="9" t="s">
        <v>2</v>
      </c>
      <c r="D405" s="9">
        <v>3</v>
      </c>
    </row>
    <row r="406" spans="1:4" x14ac:dyDescent="0.25">
      <c r="A406" s="9">
        <v>12</v>
      </c>
      <c r="B406" s="9" t="s">
        <v>387</v>
      </c>
      <c r="C406" s="9" t="s">
        <v>2</v>
      </c>
      <c r="D406" s="9">
        <v>3</v>
      </c>
    </row>
    <row r="407" spans="1:4" x14ac:dyDescent="0.25">
      <c r="A407" s="9">
        <v>12</v>
      </c>
      <c r="B407" s="9" t="s">
        <v>388</v>
      </c>
      <c r="C407" s="9" t="s">
        <v>2</v>
      </c>
      <c r="D407" s="9">
        <v>3</v>
      </c>
    </row>
    <row r="408" spans="1:4" x14ac:dyDescent="0.25">
      <c r="A408" s="9">
        <v>12</v>
      </c>
      <c r="B408" s="9" t="s">
        <v>389</v>
      </c>
      <c r="C408" s="9" t="s">
        <v>2</v>
      </c>
      <c r="D408" s="9">
        <v>3</v>
      </c>
    </row>
    <row r="409" spans="1:4" x14ac:dyDescent="0.25">
      <c r="A409" s="9">
        <v>12</v>
      </c>
      <c r="B409" s="9" t="s">
        <v>390</v>
      </c>
      <c r="C409" s="9" t="s">
        <v>2</v>
      </c>
      <c r="D409" s="9">
        <v>3</v>
      </c>
    </row>
    <row r="410" spans="1:4" x14ac:dyDescent="0.25">
      <c r="A410" s="9">
        <v>12</v>
      </c>
      <c r="B410" s="9" t="s">
        <v>391</v>
      </c>
      <c r="C410" s="9" t="s">
        <v>2</v>
      </c>
      <c r="D410" s="9">
        <v>3</v>
      </c>
    </row>
    <row r="411" spans="1:4" x14ac:dyDescent="0.25">
      <c r="A411" s="9">
        <v>12</v>
      </c>
      <c r="B411" s="9" t="s">
        <v>392</v>
      </c>
      <c r="C411" s="9" t="s">
        <v>2</v>
      </c>
      <c r="D411" s="9">
        <v>3</v>
      </c>
    </row>
    <row r="412" spans="1:4" x14ac:dyDescent="0.25">
      <c r="A412" s="9">
        <v>12</v>
      </c>
      <c r="B412" s="9" t="s">
        <v>393</v>
      </c>
      <c r="C412" s="9" t="s">
        <v>2</v>
      </c>
      <c r="D412" s="9">
        <v>3</v>
      </c>
    </row>
    <row r="413" spans="1:4" x14ac:dyDescent="0.25">
      <c r="A413" s="9">
        <v>12</v>
      </c>
      <c r="B413" s="9" t="s">
        <v>394</v>
      </c>
      <c r="C413" s="9" t="s">
        <v>2</v>
      </c>
      <c r="D413" s="9">
        <v>3</v>
      </c>
    </row>
    <row r="414" spans="1:4" x14ac:dyDescent="0.25">
      <c r="A414" s="9">
        <v>12</v>
      </c>
      <c r="B414" s="9" t="s">
        <v>395</v>
      </c>
      <c r="C414" s="9" t="s">
        <v>2</v>
      </c>
      <c r="D414" s="9">
        <v>3</v>
      </c>
    </row>
    <row r="415" spans="1:4" x14ac:dyDescent="0.25">
      <c r="A415" s="9">
        <v>12</v>
      </c>
      <c r="B415" s="9" t="s">
        <v>396</v>
      </c>
      <c r="C415" s="9" t="s">
        <v>2</v>
      </c>
      <c r="D415" s="9">
        <v>3</v>
      </c>
    </row>
    <row r="416" spans="1:4" x14ac:dyDescent="0.25">
      <c r="A416" s="9">
        <v>12</v>
      </c>
      <c r="B416" s="9" t="s">
        <v>397</v>
      </c>
      <c r="C416" s="9" t="s">
        <v>2</v>
      </c>
      <c r="D416" s="9">
        <v>3</v>
      </c>
    </row>
    <row r="417" spans="1:4" x14ac:dyDescent="0.25">
      <c r="A417" s="9">
        <v>12</v>
      </c>
      <c r="B417" s="9" t="s">
        <v>398</v>
      </c>
      <c r="C417" s="9" t="s">
        <v>2</v>
      </c>
      <c r="D417" s="9">
        <v>3</v>
      </c>
    </row>
    <row r="418" spans="1:4" x14ac:dyDescent="0.25">
      <c r="A418" s="9">
        <v>12</v>
      </c>
      <c r="B418" s="9" t="s">
        <v>399</v>
      </c>
      <c r="C418" s="9" t="s">
        <v>2</v>
      </c>
      <c r="D418" s="9">
        <v>3</v>
      </c>
    </row>
    <row r="419" spans="1:4" x14ac:dyDescent="0.25">
      <c r="A419" s="9">
        <v>12</v>
      </c>
      <c r="B419" s="9" t="s">
        <v>400</v>
      </c>
      <c r="C419" s="9" t="s">
        <v>2</v>
      </c>
      <c r="D419" s="9">
        <v>3</v>
      </c>
    </row>
    <row r="420" spans="1:4" x14ac:dyDescent="0.25">
      <c r="A420" s="9">
        <v>12</v>
      </c>
      <c r="B420" s="9" t="s">
        <v>401</v>
      </c>
      <c r="C420" s="9" t="s">
        <v>2</v>
      </c>
      <c r="D420" s="9">
        <v>3</v>
      </c>
    </row>
    <row r="421" spans="1:4" x14ac:dyDescent="0.25">
      <c r="A421" s="9">
        <v>12</v>
      </c>
      <c r="B421" s="9" t="s">
        <v>402</v>
      </c>
      <c r="C421" s="9" t="s">
        <v>2</v>
      </c>
      <c r="D421" s="9">
        <v>3</v>
      </c>
    </row>
    <row r="422" spans="1:4" x14ac:dyDescent="0.25">
      <c r="A422" s="9">
        <v>12</v>
      </c>
      <c r="B422" s="9" t="s">
        <v>310</v>
      </c>
      <c r="C422" s="9" t="s">
        <v>2</v>
      </c>
      <c r="D422" s="9">
        <v>3</v>
      </c>
    </row>
    <row r="423" spans="1:4" x14ac:dyDescent="0.25">
      <c r="A423" s="9">
        <v>12</v>
      </c>
      <c r="B423" s="9" t="s">
        <v>403</v>
      </c>
      <c r="C423" s="9" t="s">
        <v>2</v>
      </c>
      <c r="D423" s="9">
        <v>3</v>
      </c>
    </row>
    <row r="424" spans="1:4" x14ac:dyDescent="0.25">
      <c r="A424" s="9">
        <v>12</v>
      </c>
      <c r="B424" s="9" t="s">
        <v>404</v>
      </c>
      <c r="C424" s="9" t="s">
        <v>2</v>
      </c>
      <c r="D424" s="9">
        <v>3</v>
      </c>
    </row>
    <row r="425" spans="1:4" x14ac:dyDescent="0.25">
      <c r="A425" s="9">
        <v>12</v>
      </c>
      <c r="B425" s="9" t="s">
        <v>405</v>
      </c>
      <c r="C425" s="9" t="s">
        <v>2</v>
      </c>
      <c r="D425" s="9">
        <v>3</v>
      </c>
    </row>
    <row r="426" spans="1:4" x14ac:dyDescent="0.25">
      <c r="A426" s="9">
        <v>12</v>
      </c>
      <c r="B426" s="9" t="s">
        <v>406</v>
      </c>
      <c r="C426" s="9" t="s">
        <v>2</v>
      </c>
      <c r="D426" s="9">
        <v>3</v>
      </c>
    </row>
    <row r="427" spans="1:4" x14ac:dyDescent="0.25">
      <c r="A427" s="9">
        <v>12</v>
      </c>
      <c r="B427" s="9" t="s">
        <v>407</v>
      </c>
      <c r="C427" s="9" t="s">
        <v>2</v>
      </c>
      <c r="D427" s="9">
        <v>3</v>
      </c>
    </row>
    <row r="428" spans="1:4" x14ac:dyDescent="0.25">
      <c r="A428" s="9">
        <v>12</v>
      </c>
      <c r="B428" s="9" t="s">
        <v>408</v>
      </c>
      <c r="C428" s="9" t="s">
        <v>2</v>
      </c>
      <c r="D428" s="9">
        <v>3</v>
      </c>
    </row>
    <row r="429" spans="1:4" x14ac:dyDescent="0.25">
      <c r="A429" s="9">
        <v>12</v>
      </c>
      <c r="B429" s="9" t="s">
        <v>409</v>
      </c>
      <c r="C429" s="9" t="s">
        <v>2</v>
      </c>
      <c r="D429" s="9">
        <v>3</v>
      </c>
    </row>
    <row r="430" spans="1:4" x14ac:dyDescent="0.25">
      <c r="A430" s="9">
        <v>12</v>
      </c>
      <c r="B430" s="9" t="s">
        <v>410</v>
      </c>
      <c r="C430" s="9" t="s">
        <v>2</v>
      </c>
      <c r="D430" s="9">
        <v>3</v>
      </c>
    </row>
    <row r="431" spans="1:4" x14ac:dyDescent="0.25">
      <c r="A431" s="9">
        <v>12</v>
      </c>
      <c r="B431" s="9" t="s">
        <v>411</v>
      </c>
      <c r="C431" s="9" t="s">
        <v>2</v>
      </c>
      <c r="D431" s="9">
        <v>3</v>
      </c>
    </row>
    <row r="432" spans="1:4" x14ac:dyDescent="0.25">
      <c r="A432" s="9">
        <v>12</v>
      </c>
      <c r="B432" s="9" t="s">
        <v>412</v>
      </c>
      <c r="C432" s="9" t="s">
        <v>2</v>
      </c>
      <c r="D432" s="9">
        <v>3</v>
      </c>
    </row>
    <row r="433" spans="1:4" x14ac:dyDescent="0.25">
      <c r="A433" s="9">
        <v>12</v>
      </c>
      <c r="B433" s="9" t="s">
        <v>413</v>
      </c>
      <c r="C433" s="9" t="s">
        <v>2</v>
      </c>
      <c r="D433" s="9">
        <v>3</v>
      </c>
    </row>
    <row r="434" spans="1:4" x14ac:dyDescent="0.25">
      <c r="A434" s="9">
        <v>12</v>
      </c>
      <c r="B434" s="9" t="s">
        <v>414</v>
      </c>
      <c r="C434" s="9" t="s">
        <v>2</v>
      </c>
      <c r="D434" s="9">
        <v>3</v>
      </c>
    </row>
    <row r="435" spans="1:4" x14ac:dyDescent="0.25">
      <c r="A435" s="9">
        <v>12</v>
      </c>
      <c r="B435" s="9" t="s">
        <v>415</v>
      </c>
      <c r="C435" s="9" t="s">
        <v>2</v>
      </c>
      <c r="D435" s="9">
        <v>3</v>
      </c>
    </row>
    <row r="436" spans="1:4" x14ac:dyDescent="0.25">
      <c r="A436" s="9">
        <v>12</v>
      </c>
      <c r="B436" s="9" t="s">
        <v>416</v>
      </c>
      <c r="C436" s="9" t="s">
        <v>2</v>
      </c>
      <c r="D436" s="9">
        <v>3</v>
      </c>
    </row>
    <row r="437" spans="1:4" x14ac:dyDescent="0.25">
      <c r="A437" s="9">
        <v>12</v>
      </c>
      <c r="B437" s="9" t="s">
        <v>417</v>
      </c>
      <c r="C437" s="9" t="s">
        <v>2</v>
      </c>
      <c r="D437" s="9">
        <v>3</v>
      </c>
    </row>
    <row r="438" spans="1:4" x14ac:dyDescent="0.25">
      <c r="A438" s="9">
        <v>12</v>
      </c>
      <c r="B438" s="9" t="s">
        <v>418</v>
      </c>
      <c r="C438" s="9" t="s">
        <v>2</v>
      </c>
      <c r="D438" s="9">
        <v>3</v>
      </c>
    </row>
    <row r="439" spans="1:4" x14ac:dyDescent="0.25">
      <c r="A439" s="9">
        <v>12</v>
      </c>
      <c r="B439" s="9" t="s">
        <v>419</v>
      </c>
      <c r="C439" s="9" t="s">
        <v>2</v>
      </c>
      <c r="D439" s="9">
        <v>3</v>
      </c>
    </row>
    <row r="440" spans="1:4" x14ac:dyDescent="0.25">
      <c r="A440" s="9">
        <v>12</v>
      </c>
      <c r="B440" s="9" t="s">
        <v>420</v>
      </c>
      <c r="C440" s="9" t="s">
        <v>2</v>
      </c>
      <c r="D440" s="9">
        <v>3</v>
      </c>
    </row>
    <row r="441" spans="1:4" x14ac:dyDescent="0.25">
      <c r="A441" s="9">
        <v>12</v>
      </c>
      <c r="B441" s="9" t="s">
        <v>421</v>
      </c>
      <c r="C441" s="9" t="s">
        <v>2</v>
      </c>
      <c r="D441" s="9">
        <v>3</v>
      </c>
    </row>
    <row r="442" spans="1:4" x14ac:dyDescent="0.25">
      <c r="A442" s="9">
        <v>12</v>
      </c>
      <c r="B442" s="9" t="s">
        <v>422</v>
      </c>
      <c r="C442" s="9" t="s">
        <v>2</v>
      </c>
      <c r="D442" s="9">
        <v>3</v>
      </c>
    </row>
    <row r="443" spans="1:4" x14ac:dyDescent="0.25">
      <c r="A443" s="9">
        <v>12</v>
      </c>
      <c r="B443" s="9" t="s">
        <v>423</v>
      </c>
      <c r="C443" s="9" t="s">
        <v>2</v>
      </c>
      <c r="D443" s="9">
        <v>3</v>
      </c>
    </row>
    <row r="444" spans="1:4" x14ac:dyDescent="0.25">
      <c r="A444" s="9">
        <v>12</v>
      </c>
      <c r="B444" s="9" t="s">
        <v>424</v>
      </c>
      <c r="C444" s="9" t="s">
        <v>2</v>
      </c>
      <c r="D444" s="9">
        <v>3</v>
      </c>
    </row>
    <row r="445" spans="1:4" x14ac:dyDescent="0.25">
      <c r="A445" s="9">
        <v>12</v>
      </c>
      <c r="B445" s="9" t="s">
        <v>425</v>
      </c>
      <c r="C445" s="9" t="s">
        <v>2</v>
      </c>
      <c r="D445" s="9">
        <v>3</v>
      </c>
    </row>
    <row r="446" spans="1:4" x14ac:dyDescent="0.25">
      <c r="A446" s="9">
        <v>12</v>
      </c>
      <c r="B446" s="9" t="s">
        <v>426</v>
      </c>
      <c r="C446" s="9" t="s">
        <v>2</v>
      </c>
      <c r="D446" s="9">
        <v>3</v>
      </c>
    </row>
    <row r="447" spans="1:4" x14ac:dyDescent="0.25">
      <c r="A447" s="9">
        <v>12</v>
      </c>
      <c r="B447" s="9" t="s">
        <v>427</v>
      </c>
      <c r="C447" s="9" t="s">
        <v>2</v>
      </c>
      <c r="D447" s="9">
        <v>3</v>
      </c>
    </row>
    <row r="448" spans="1:4" x14ac:dyDescent="0.25">
      <c r="A448" s="9">
        <v>12</v>
      </c>
      <c r="B448" s="9" t="s">
        <v>428</v>
      </c>
      <c r="C448" s="9" t="s">
        <v>2</v>
      </c>
      <c r="D448" s="9">
        <v>3</v>
      </c>
    </row>
    <row r="449" spans="1:4" x14ac:dyDescent="0.25">
      <c r="A449" s="9">
        <v>12</v>
      </c>
      <c r="B449" s="9" t="s">
        <v>429</v>
      </c>
      <c r="C449" s="9" t="s">
        <v>2</v>
      </c>
      <c r="D449" s="9">
        <v>3</v>
      </c>
    </row>
    <row r="450" spans="1:4" x14ac:dyDescent="0.25">
      <c r="A450" s="9">
        <v>12</v>
      </c>
      <c r="B450" s="9" t="s">
        <v>430</v>
      </c>
      <c r="C450" s="9" t="s">
        <v>2</v>
      </c>
      <c r="D450" s="9">
        <v>3</v>
      </c>
    </row>
    <row r="451" spans="1:4" x14ac:dyDescent="0.25">
      <c r="A451" s="9">
        <v>12</v>
      </c>
      <c r="B451" s="9" t="s">
        <v>431</v>
      </c>
      <c r="C451" s="9" t="s">
        <v>2</v>
      </c>
      <c r="D451" s="9">
        <v>3</v>
      </c>
    </row>
    <row r="452" spans="1:4" x14ac:dyDescent="0.25">
      <c r="A452" s="9">
        <v>12</v>
      </c>
      <c r="B452" s="9" t="s">
        <v>432</v>
      </c>
      <c r="C452" s="9" t="s">
        <v>2</v>
      </c>
      <c r="D452" s="9">
        <v>3</v>
      </c>
    </row>
    <row r="453" spans="1:4" x14ac:dyDescent="0.25">
      <c r="A453" s="9">
        <v>12</v>
      </c>
      <c r="B453" s="9" t="s">
        <v>433</v>
      </c>
      <c r="C453" s="9" t="s">
        <v>2</v>
      </c>
      <c r="D453" s="9">
        <v>3</v>
      </c>
    </row>
    <row r="454" spans="1:4" x14ac:dyDescent="0.25">
      <c r="A454" s="9">
        <v>12</v>
      </c>
      <c r="B454" s="9" t="s">
        <v>434</v>
      </c>
      <c r="C454" s="9" t="s">
        <v>2</v>
      </c>
      <c r="D454" s="9">
        <v>3</v>
      </c>
    </row>
    <row r="455" spans="1:4" x14ac:dyDescent="0.25">
      <c r="A455" s="9">
        <v>12</v>
      </c>
      <c r="B455" s="9" t="s">
        <v>435</v>
      </c>
      <c r="C455" s="9" t="s">
        <v>2</v>
      </c>
      <c r="D455" s="9">
        <v>3</v>
      </c>
    </row>
    <row r="456" spans="1:4" x14ac:dyDescent="0.25">
      <c r="A456" s="9">
        <v>12</v>
      </c>
      <c r="B456" s="9" t="s">
        <v>436</v>
      </c>
      <c r="C456" s="9" t="s">
        <v>2</v>
      </c>
      <c r="D456" s="9">
        <v>3</v>
      </c>
    </row>
    <row r="457" spans="1:4" x14ac:dyDescent="0.25">
      <c r="A457" s="9">
        <v>12</v>
      </c>
      <c r="B457" s="9" t="s">
        <v>437</v>
      </c>
      <c r="C457" s="9" t="s">
        <v>2</v>
      </c>
      <c r="D457" s="9">
        <v>3</v>
      </c>
    </row>
    <row r="458" spans="1:4" x14ac:dyDescent="0.25">
      <c r="A458" s="9">
        <v>12</v>
      </c>
      <c r="B458" s="9" t="s">
        <v>438</v>
      </c>
      <c r="C458" s="9" t="s">
        <v>2</v>
      </c>
      <c r="D458" s="9">
        <v>3</v>
      </c>
    </row>
    <row r="459" spans="1:4" x14ac:dyDescent="0.25">
      <c r="A459" s="9">
        <v>12</v>
      </c>
      <c r="B459" s="9" t="s">
        <v>439</v>
      </c>
      <c r="C459" s="9" t="s">
        <v>2</v>
      </c>
      <c r="D459" s="9">
        <v>3</v>
      </c>
    </row>
    <row r="460" spans="1:4" x14ac:dyDescent="0.25">
      <c r="A460" s="9">
        <v>12</v>
      </c>
      <c r="B460" s="9" t="s">
        <v>440</v>
      </c>
      <c r="C460" s="9" t="s">
        <v>2</v>
      </c>
      <c r="D460" s="9">
        <v>3</v>
      </c>
    </row>
    <row r="461" spans="1:4" x14ac:dyDescent="0.25">
      <c r="A461" s="9">
        <v>12</v>
      </c>
      <c r="B461" s="9" t="s">
        <v>441</v>
      </c>
      <c r="C461" s="9" t="s">
        <v>2</v>
      </c>
      <c r="D461" s="9">
        <v>3</v>
      </c>
    </row>
    <row r="462" spans="1:4" x14ac:dyDescent="0.25">
      <c r="A462" s="9">
        <v>12</v>
      </c>
      <c r="B462" s="9" t="s">
        <v>442</v>
      </c>
      <c r="C462" s="9" t="s">
        <v>2</v>
      </c>
      <c r="D462" s="9">
        <v>3</v>
      </c>
    </row>
    <row r="463" spans="1:4" x14ac:dyDescent="0.25">
      <c r="A463" s="9">
        <v>12</v>
      </c>
      <c r="B463" s="9" t="s">
        <v>443</v>
      </c>
      <c r="C463" s="9" t="s">
        <v>2</v>
      </c>
      <c r="D463" s="9">
        <v>3</v>
      </c>
    </row>
    <row r="464" spans="1:4" x14ac:dyDescent="0.25">
      <c r="A464" s="9">
        <v>12</v>
      </c>
      <c r="B464" s="9" t="s">
        <v>444</v>
      </c>
      <c r="C464" s="9" t="s">
        <v>2</v>
      </c>
      <c r="D464" s="9">
        <v>3</v>
      </c>
    </row>
    <row r="465" spans="1:4" x14ac:dyDescent="0.25">
      <c r="A465" s="9">
        <v>12</v>
      </c>
      <c r="B465" s="9" t="s">
        <v>445</v>
      </c>
      <c r="C465" s="9" t="s">
        <v>2</v>
      </c>
      <c r="D465" s="9">
        <v>3</v>
      </c>
    </row>
    <row r="466" spans="1:4" x14ac:dyDescent="0.25">
      <c r="A466" s="9">
        <v>12</v>
      </c>
      <c r="B466" s="9" t="s">
        <v>446</v>
      </c>
      <c r="C466" s="9" t="s">
        <v>2</v>
      </c>
      <c r="D466" s="9">
        <v>3</v>
      </c>
    </row>
    <row r="467" spans="1:4" x14ac:dyDescent="0.25">
      <c r="A467" s="9">
        <v>12</v>
      </c>
      <c r="B467" s="9" t="s">
        <v>447</v>
      </c>
      <c r="C467" s="9" t="s">
        <v>2</v>
      </c>
      <c r="D467" s="9">
        <v>3</v>
      </c>
    </row>
    <row r="468" spans="1:4" x14ac:dyDescent="0.25">
      <c r="A468" s="9">
        <v>12</v>
      </c>
      <c r="B468" s="9" t="s">
        <v>448</v>
      </c>
      <c r="C468" s="9" t="s">
        <v>2</v>
      </c>
      <c r="D468" s="9">
        <v>3</v>
      </c>
    </row>
    <row r="469" spans="1:4" x14ac:dyDescent="0.25">
      <c r="A469" s="9">
        <v>12</v>
      </c>
      <c r="B469" s="9" t="s">
        <v>449</v>
      </c>
      <c r="C469" s="9" t="s">
        <v>2</v>
      </c>
      <c r="D469" s="9">
        <v>3</v>
      </c>
    </row>
    <row r="470" spans="1:4" x14ac:dyDescent="0.25">
      <c r="A470" s="9">
        <v>12</v>
      </c>
      <c r="B470" s="9" t="s">
        <v>450</v>
      </c>
      <c r="C470" s="9" t="s">
        <v>2</v>
      </c>
      <c r="D470" s="9">
        <v>3</v>
      </c>
    </row>
    <row r="471" spans="1:4" x14ac:dyDescent="0.25">
      <c r="A471" s="9">
        <v>12</v>
      </c>
      <c r="B471" s="9" t="s">
        <v>451</v>
      </c>
      <c r="C471" s="9" t="s">
        <v>2</v>
      </c>
      <c r="D471" s="9">
        <v>3</v>
      </c>
    </row>
    <row r="472" spans="1:4" x14ac:dyDescent="0.25">
      <c r="A472" s="9">
        <v>12</v>
      </c>
      <c r="B472" s="9" t="s">
        <v>452</v>
      </c>
      <c r="C472" s="9" t="s">
        <v>2</v>
      </c>
      <c r="D472" s="9">
        <v>3</v>
      </c>
    </row>
    <row r="473" spans="1:4" x14ac:dyDescent="0.25">
      <c r="A473" s="9">
        <v>12</v>
      </c>
      <c r="B473" s="9" t="s">
        <v>453</v>
      </c>
      <c r="C473" s="9" t="s">
        <v>2</v>
      </c>
      <c r="D473" s="9">
        <v>3</v>
      </c>
    </row>
    <row r="474" spans="1:4" x14ac:dyDescent="0.25">
      <c r="A474" s="9">
        <v>12</v>
      </c>
      <c r="B474" s="9" t="s">
        <v>454</v>
      </c>
      <c r="C474" s="9" t="s">
        <v>2</v>
      </c>
      <c r="D474" s="9">
        <v>3</v>
      </c>
    </row>
    <row r="475" spans="1:4" x14ac:dyDescent="0.25">
      <c r="A475" s="9">
        <v>12</v>
      </c>
      <c r="B475" s="9" t="s">
        <v>455</v>
      </c>
      <c r="C475" s="9" t="s">
        <v>2</v>
      </c>
      <c r="D475" s="9">
        <v>3</v>
      </c>
    </row>
    <row r="476" spans="1:4" x14ac:dyDescent="0.25">
      <c r="A476" s="9">
        <v>12</v>
      </c>
      <c r="B476" s="9" t="s">
        <v>456</v>
      </c>
      <c r="C476" s="9" t="s">
        <v>2</v>
      </c>
      <c r="D476" s="9">
        <v>3</v>
      </c>
    </row>
    <row r="477" spans="1:4" x14ac:dyDescent="0.25">
      <c r="A477" s="9">
        <v>12</v>
      </c>
      <c r="B477" s="9" t="s">
        <v>457</v>
      </c>
      <c r="C477" s="9" t="s">
        <v>2</v>
      </c>
      <c r="D477" s="9">
        <v>3</v>
      </c>
    </row>
    <row r="478" spans="1:4" x14ac:dyDescent="0.25">
      <c r="A478" s="9">
        <v>12</v>
      </c>
      <c r="B478" s="9" t="s">
        <v>458</v>
      </c>
      <c r="C478" s="9" t="s">
        <v>2</v>
      </c>
      <c r="D478" s="9">
        <v>3</v>
      </c>
    </row>
    <row r="479" spans="1:4" x14ac:dyDescent="0.25">
      <c r="A479" s="9">
        <v>12</v>
      </c>
      <c r="B479" s="9" t="s">
        <v>459</v>
      </c>
      <c r="C479" s="9" t="s">
        <v>2</v>
      </c>
      <c r="D479" s="9">
        <v>3</v>
      </c>
    </row>
    <row r="480" spans="1:4" x14ac:dyDescent="0.25">
      <c r="A480" s="9">
        <v>12</v>
      </c>
      <c r="B480" s="9" t="s">
        <v>460</v>
      </c>
      <c r="C480" s="9" t="s">
        <v>2</v>
      </c>
      <c r="D480" s="9">
        <v>3</v>
      </c>
    </row>
    <row r="481" spans="1:4" x14ac:dyDescent="0.25">
      <c r="A481" s="9">
        <v>12</v>
      </c>
      <c r="B481" s="9" t="s">
        <v>461</v>
      </c>
      <c r="C481" s="9" t="s">
        <v>2</v>
      </c>
      <c r="D481" s="9">
        <v>3</v>
      </c>
    </row>
    <row r="482" spans="1:4" x14ac:dyDescent="0.25">
      <c r="A482" s="9">
        <v>12</v>
      </c>
      <c r="B482" s="9" t="s">
        <v>462</v>
      </c>
      <c r="C482" s="9" t="s">
        <v>2</v>
      </c>
      <c r="D482" s="9">
        <v>3</v>
      </c>
    </row>
    <row r="483" spans="1:4" x14ac:dyDescent="0.25">
      <c r="A483" s="9">
        <v>12</v>
      </c>
      <c r="B483" s="9" t="s">
        <v>463</v>
      </c>
      <c r="C483" s="9" t="s">
        <v>2</v>
      </c>
      <c r="D483" s="9">
        <v>3</v>
      </c>
    </row>
    <row r="484" spans="1:4" x14ac:dyDescent="0.25">
      <c r="A484" s="9">
        <v>12</v>
      </c>
      <c r="B484" s="9" t="s">
        <v>464</v>
      </c>
      <c r="C484" s="9" t="s">
        <v>2</v>
      </c>
      <c r="D484" s="9">
        <v>3</v>
      </c>
    </row>
    <row r="485" spans="1:4" x14ac:dyDescent="0.25">
      <c r="A485" s="9">
        <v>12</v>
      </c>
      <c r="B485" s="9" t="s">
        <v>465</v>
      </c>
      <c r="C485" s="9" t="s">
        <v>2</v>
      </c>
      <c r="D485" s="9">
        <v>3</v>
      </c>
    </row>
    <row r="486" spans="1:4" x14ac:dyDescent="0.25">
      <c r="A486" s="9">
        <v>12</v>
      </c>
      <c r="B486" s="9" t="s">
        <v>466</v>
      </c>
      <c r="C486" s="9" t="s">
        <v>2</v>
      </c>
      <c r="D486" s="9">
        <v>3</v>
      </c>
    </row>
    <row r="487" spans="1:4" x14ac:dyDescent="0.25">
      <c r="A487" s="9">
        <v>12</v>
      </c>
      <c r="B487" s="9" t="s">
        <v>467</v>
      </c>
      <c r="C487" s="9" t="s">
        <v>2</v>
      </c>
      <c r="D487" s="9">
        <v>3</v>
      </c>
    </row>
    <row r="488" spans="1:4" x14ac:dyDescent="0.25">
      <c r="A488" s="9">
        <v>12</v>
      </c>
      <c r="B488" s="9" t="s">
        <v>468</v>
      </c>
      <c r="C488" s="9" t="s">
        <v>2</v>
      </c>
      <c r="D488" s="9">
        <v>3</v>
      </c>
    </row>
    <row r="489" spans="1:4" x14ac:dyDescent="0.25">
      <c r="A489" s="9">
        <v>12</v>
      </c>
      <c r="B489" s="9" t="s">
        <v>469</v>
      </c>
      <c r="C489" s="9" t="s">
        <v>2</v>
      </c>
      <c r="D489" s="9">
        <v>3</v>
      </c>
    </row>
    <row r="490" spans="1:4" x14ac:dyDescent="0.25">
      <c r="A490" s="9">
        <v>12</v>
      </c>
      <c r="B490" s="9" t="s">
        <v>470</v>
      </c>
      <c r="C490" s="9" t="s">
        <v>2</v>
      </c>
      <c r="D490" s="9">
        <v>3</v>
      </c>
    </row>
    <row r="491" spans="1:4" x14ac:dyDescent="0.25">
      <c r="A491" s="9">
        <v>12</v>
      </c>
      <c r="B491" s="9" t="s">
        <v>471</v>
      </c>
      <c r="C491" s="9" t="s">
        <v>2</v>
      </c>
      <c r="D491" s="9">
        <v>3</v>
      </c>
    </row>
    <row r="492" spans="1:4" x14ac:dyDescent="0.25">
      <c r="A492" s="9">
        <v>12</v>
      </c>
      <c r="B492" s="9" t="s">
        <v>472</v>
      </c>
      <c r="C492" s="9" t="s">
        <v>2</v>
      </c>
      <c r="D492" s="9">
        <v>3</v>
      </c>
    </row>
    <row r="493" spans="1:4" x14ac:dyDescent="0.25">
      <c r="A493" s="9">
        <v>12</v>
      </c>
      <c r="B493" s="9" t="s">
        <v>473</v>
      </c>
      <c r="C493" s="9" t="s">
        <v>2</v>
      </c>
      <c r="D493" s="9">
        <v>3</v>
      </c>
    </row>
    <row r="494" spans="1:4" x14ac:dyDescent="0.25">
      <c r="A494" s="9">
        <v>12</v>
      </c>
      <c r="B494" s="9" t="s">
        <v>474</v>
      </c>
      <c r="C494" s="9" t="s">
        <v>2</v>
      </c>
      <c r="D494" s="9">
        <v>3</v>
      </c>
    </row>
    <row r="495" spans="1:4" x14ac:dyDescent="0.25">
      <c r="A495" s="9">
        <v>12</v>
      </c>
      <c r="B495" s="9" t="s">
        <v>475</v>
      </c>
      <c r="C495" s="9" t="s">
        <v>2</v>
      </c>
      <c r="D495" s="9">
        <v>3</v>
      </c>
    </row>
    <row r="496" spans="1:4" x14ac:dyDescent="0.25">
      <c r="A496" s="9">
        <v>12</v>
      </c>
      <c r="B496" s="9" t="s">
        <v>476</v>
      </c>
      <c r="C496" s="9" t="s">
        <v>2</v>
      </c>
      <c r="D496" s="9">
        <v>3</v>
      </c>
    </row>
    <row r="497" spans="1:4" x14ac:dyDescent="0.25">
      <c r="A497" s="9">
        <v>12</v>
      </c>
      <c r="B497" s="9" t="s">
        <v>477</v>
      </c>
      <c r="C497" s="9" t="s">
        <v>2</v>
      </c>
      <c r="D497" s="9">
        <v>3</v>
      </c>
    </row>
    <row r="498" spans="1:4" x14ac:dyDescent="0.25">
      <c r="A498" s="9">
        <v>12</v>
      </c>
      <c r="B498" s="9" t="s">
        <v>478</v>
      </c>
      <c r="C498" s="9" t="s">
        <v>2</v>
      </c>
      <c r="D498" s="9">
        <v>3</v>
      </c>
    </row>
    <row r="499" spans="1:4" x14ac:dyDescent="0.25">
      <c r="A499" s="9">
        <v>12</v>
      </c>
      <c r="B499" s="9" t="s">
        <v>479</v>
      </c>
      <c r="C499" s="9" t="s">
        <v>2</v>
      </c>
      <c r="D499" s="9">
        <v>3</v>
      </c>
    </row>
    <row r="500" spans="1:4" x14ac:dyDescent="0.25">
      <c r="A500" s="9">
        <v>12</v>
      </c>
      <c r="B500" s="9" t="s">
        <v>480</v>
      </c>
      <c r="C500" s="9" t="s">
        <v>2</v>
      </c>
      <c r="D500" s="9">
        <v>3</v>
      </c>
    </row>
    <row r="501" spans="1:4" x14ac:dyDescent="0.25">
      <c r="A501" s="9">
        <v>12</v>
      </c>
      <c r="B501" s="9" t="s">
        <v>481</v>
      </c>
      <c r="C501" s="9" t="s">
        <v>2</v>
      </c>
      <c r="D501" s="9">
        <v>3</v>
      </c>
    </row>
    <row r="502" spans="1:4" x14ac:dyDescent="0.25">
      <c r="A502" s="9">
        <v>12</v>
      </c>
      <c r="B502" s="9" t="s">
        <v>482</v>
      </c>
      <c r="C502" s="9" t="s">
        <v>2</v>
      </c>
      <c r="D502" s="9">
        <v>3</v>
      </c>
    </row>
    <row r="503" spans="1:4" x14ac:dyDescent="0.25">
      <c r="A503" s="9">
        <v>12</v>
      </c>
      <c r="B503" s="9" t="s">
        <v>483</v>
      </c>
      <c r="C503" s="9" t="s">
        <v>2</v>
      </c>
      <c r="D503" s="9">
        <v>3</v>
      </c>
    </row>
    <row r="504" spans="1:4" x14ac:dyDescent="0.25">
      <c r="A504" s="9">
        <v>12</v>
      </c>
      <c r="B504" s="9" t="s">
        <v>484</v>
      </c>
      <c r="C504" s="9" t="s">
        <v>2</v>
      </c>
      <c r="D504" s="9">
        <v>3</v>
      </c>
    </row>
    <row r="505" spans="1:4" x14ac:dyDescent="0.25">
      <c r="A505" s="9">
        <v>12</v>
      </c>
      <c r="B505" s="9" t="s">
        <v>485</v>
      </c>
      <c r="C505" s="9" t="s">
        <v>2</v>
      </c>
      <c r="D505" s="9">
        <v>3</v>
      </c>
    </row>
    <row r="506" spans="1:4" x14ac:dyDescent="0.25">
      <c r="A506" s="9">
        <v>12</v>
      </c>
      <c r="B506" s="9" t="s">
        <v>486</v>
      </c>
      <c r="C506" s="9" t="s">
        <v>2</v>
      </c>
      <c r="D506" s="9">
        <v>3</v>
      </c>
    </row>
    <row r="507" spans="1:4" x14ac:dyDescent="0.25">
      <c r="A507" s="9">
        <v>12</v>
      </c>
      <c r="B507" s="9" t="s">
        <v>487</v>
      </c>
      <c r="C507" s="9" t="s">
        <v>2</v>
      </c>
      <c r="D507" s="9">
        <v>3</v>
      </c>
    </row>
    <row r="508" spans="1:4" x14ac:dyDescent="0.25">
      <c r="A508" s="9">
        <v>12</v>
      </c>
      <c r="B508" s="9" t="s">
        <v>488</v>
      </c>
      <c r="C508" s="9" t="s">
        <v>2</v>
      </c>
      <c r="D508" s="9">
        <v>3</v>
      </c>
    </row>
    <row r="509" spans="1:4" x14ac:dyDescent="0.25">
      <c r="A509" s="9">
        <v>12</v>
      </c>
      <c r="B509" s="9" t="s">
        <v>489</v>
      </c>
      <c r="C509" s="9" t="s">
        <v>2</v>
      </c>
      <c r="D509" s="9">
        <v>3</v>
      </c>
    </row>
    <row r="510" spans="1:4" x14ac:dyDescent="0.25">
      <c r="A510" s="9">
        <v>12</v>
      </c>
      <c r="B510" s="9" t="s">
        <v>490</v>
      </c>
      <c r="C510" s="9" t="s">
        <v>2</v>
      </c>
      <c r="D510" s="9">
        <v>3</v>
      </c>
    </row>
    <row r="511" spans="1:4" x14ac:dyDescent="0.25">
      <c r="A511" s="9">
        <v>12</v>
      </c>
      <c r="B511" s="9" t="s">
        <v>329</v>
      </c>
      <c r="C511" s="9" t="s">
        <v>2</v>
      </c>
      <c r="D511" s="9">
        <v>3</v>
      </c>
    </row>
    <row r="512" spans="1:4" x14ac:dyDescent="0.25">
      <c r="A512" s="9">
        <v>12</v>
      </c>
      <c r="B512" s="9" t="s">
        <v>491</v>
      </c>
      <c r="C512" s="9" t="s">
        <v>2</v>
      </c>
      <c r="D512" s="9">
        <v>3</v>
      </c>
    </row>
    <row r="513" spans="1:4" x14ac:dyDescent="0.25">
      <c r="A513" s="9">
        <v>12</v>
      </c>
      <c r="B513" s="9" t="s">
        <v>492</v>
      </c>
      <c r="C513" s="9" t="s">
        <v>2</v>
      </c>
      <c r="D513" s="9">
        <v>3</v>
      </c>
    </row>
    <row r="514" spans="1:4" x14ac:dyDescent="0.25">
      <c r="A514" s="9">
        <v>12</v>
      </c>
      <c r="B514" s="9" t="s">
        <v>493</v>
      </c>
      <c r="C514" s="9" t="s">
        <v>2</v>
      </c>
      <c r="D514" s="9">
        <v>3</v>
      </c>
    </row>
    <row r="515" spans="1:4" x14ac:dyDescent="0.25">
      <c r="A515" s="9">
        <v>12</v>
      </c>
      <c r="B515" s="9" t="s">
        <v>494</v>
      </c>
      <c r="C515" s="9" t="s">
        <v>2</v>
      </c>
      <c r="D515" s="9">
        <v>3</v>
      </c>
    </row>
    <row r="516" spans="1:4" x14ac:dyDescent="0.25">
      <c r="A516" s="9">
        <v>12</v>
      </c>
      <c r="B516" s="9" t="s">
        <v>495</v>
      </c>
      <c r="C516" s="9" t="s">
        <v>2</v>
      </c>
      <c r="D516" s="9">
        <v>3</v>
      </c>
    </row>
    <row r="517" spans="1:4" x14ac:dyDescent="0.25">
      <c r="A517" s="9">
        <v>12</v>
      </c>
      <c r="B517" s="9" t="s">
        <v>496</v>
      </c>
      <c r="C517" s="9" t="s">
        <v>2</v>
      </c>
      <c r="D517" s="9">
        <v>3</v>
      </c>
    </row>
    <row r="518" spans="1:4" x14ac:dyDescent="0.25">
      <c r="A518" s="9">
        <v>12</v>
      </c>
      <c r="B518" s="9" t="s">
        <v>497</v>
      </c>
      <c r="C518" s="9" t="s">
        <v>2</v>
      </c>
      <c r="D518" s="9">
        <v>3</v>
      </c>
    </row>
    <row r="519" spans="1:4" x14ac:dyDescent="0.25">
      <c r="A519" s="9">
        <v>12</v>
      </c>
      <c r="B519" s="9" t="s">
        <v>498</v>
      </c>
      <c r="C519" s="9" t="s">
        <v>2</v>
      </c>
      <c r="D519" s="9">
        <v>3</v>
      </c>
    </row>
    <row r="520" spans="1:4" x14ac:dyDescent="0.25">
      <c r="A520" s="9">
        <v>12</v>
      </c>
      <c r="B520" s="9" t="s">
        <v>499</v>
      </c>
      <c r="C520" s="9" t="s">
        <v>2</v>
      </c>
      <c r="D520" s="9">
        <v>3</v>
      </c>
    </row>
    <row r="521" spans="1:4" x14ac:dyDescent="0.25">
      <c r="A521" s="9">
        <v>12</v>
      </c>
      <c r="B521" s="9" t="s">
        <v>500</v>
      </c>
      <c r="C521" s="9" t="s">
        <v>2</v>
      </c>
      <c r="D521" s="9">
        <v>3</v>
      </c>
    </row>
    <row r="522" spans="1:4" x14ac:dyDescent="0.25">
      <c r="A522" s="9">
        <v>12</v>
      </c>
      <c r="B522" s="9" t="s">
        <v>501</v>
      </c>
      <c r="C522" s="9" t="s">
        <v>2</v>
      </c>
      <c r="D522" s="9">
        <v>3</v>
      </c>
    </row>
    <row r="523" spans="1:4" x14ac:dyDescent="0.25">
      <c r="A523" s="9">
        <v>12</v>
      </c>
      <c r="B523" s="9" t="s">
        <v>502</v>
      </c>
      <c r="C523" s="9" t="s">
        <v>2</v>
      </c>
      <c r="D523" s="9">
        <v>3</v>
      </c>
    </row>
    <row r="524" spans="1:4" x14ac:dyDescent="0.25">
      <c r="A524" s="9">
        <v>12</v>
      </c>
      <c r="B524" s="9" t="s">
        <v>503</v>
      </c>
      <c r="C524" s="9" t="s">
        <v>2</v>
      </c>
      <c r="D524" s="9">
        <v>3</v>
      </c>
    </row>
    <row r="525" spans="1:4" x14ac:dyDescent="0.25">
      <c r="A525" s="9">
        <v>12</v>
      </c>
      <c r="B525" s="9" t="s">
        <v>504</v>
      </c>
      <c r="C525" s="9" t="s">
        <v>2</v>
      </c>
      <c r="D525" s="9">
        <v>3</v>
      </c>
    </row>
    <row r="526" spans="1:4" x14ac:dyDescent="0.25">
      <c r="A526" s="9">
        <v>12</v>
      </c>
      <c r="B526" s="9" t="s">
        <v>505</v>
      </c>
      <c r="C526" s="9" t="s">
        <v>2</v>
      </c>
      <c r="D526" s="9">
        <v>3</v>
      </c>
    </row>
    <row r="527" spans="1:4" x14ac:dyDescent="0.25">
      <c r="A527" s="9">
        <v>12</v>
      </c>
      <c r="B527" s="9" t="s">
        <v>506</v>
      </c>
      <c r="C527" s="9" t="s">
        <v>2</v>
      </c>
      <c r="D527" s="9">
        <v>3</v>
      </c>
    </row>
    <row r="528" spans="1:4" x14ac:dyDescent="0.25">
      <c r="A528" s="9">
        <v>12</v>
      </c>
      <c r="B528" s="9" t="s">
        <v>507</v>
      </c>
      <c r="C528" s="9" t="s">
        <v>2</v>
      </c>
      <c r="D528" s="9">
        <v>3</v>
      </c>
    </row>
    <row r="529" spans="1:4" x14ac:dyDescent="0.25">
      <c r="A529" s="9">
        <v>12</v>
      </c>
      <c r="B529" s="9" t="s">
        <v>508</v>
      </c>
      <c r="C529" s="9" t="s">
        <v>2</v>
      </c>
      <c r="D529" s="9">
        <v>3</v>
      </c>
    </row>
    <row r="530" spans="1:4" x14ac:dyDescent="0.25">
      <c r="A530" s="9">
        <v>12</v>
      </c>
      <c r="B530" s="9" t="s">
        <v>509</v>
      </c>
      <c r="C530" s="9" t="s">
        <v>2</v>
      </c>
      <c r="D530" s="9">
        <v>3</v>
      </c>
    </row>
    <row r="531" spans="1:4" x14ac:dyDescent="0.25">
      <c r="A531" s="9">
        <v>12</v>
      </c>
      <c r="B531" s="9" t="s">
        <v>510</v>
      </c>
      <c r="C531" s="9" t="s">
        <v>2</v>
      </c>
      <c r="D531" s="9">
        <v>3</v>
      </c>
    </row>
    <row r="532" spans="1:4" x14ac:dyDescent="0.25">
      <c r="A532" s="9">
        <v>12</v>
      </c>
      <c r="B532" s="9" t="s">
        <v>511</v>
      </c>
      <c r="C532" s="9" t="s">
        <v>2</v>
      </c>
      <c r="D532" s="9">
        <v>3</v>
      </c>
    </row>
    <row r="533" spans="1:4" x14ac:dyDescent="0.25">
      <c r="A533" s="9">
        <v>12</v>
      </c>
      <c r="B533" s="9" t="s">
        <v>512</v>
      </c>
      <c r="C533" s="9" t="s">
        <v>2</v>
      </c>
      <c r="D533" s="9">
        <v>3</v>
      </c>
    </row>
    <row r="534" spans="1:4" x14ac:dyDescent="0.25">
      <c r="A534" s="9">
        <v>12</v>
      </c>
      <c r="B534" s="9" t="s">
        <v>513</v>
      </c>
      <c r="C534" s="9" t="s">
        <v>2</v>
      </c>
      <c r="D534" s="9">
        <v>3</v>
      </c>
    </row>
    <row r="535" spans="1:4" x14ac:dyDescent="0.25">
      <c r="A535" s="9">
        <v>12</v>
      </c>
      <c r="B535" s="9" t="s">
        <v>514</v>
      </c>
      <c r="C535" s="9" t="s">
        <v>2</v>
      </c>
      <c r="D535" s="9">
        <v>3</v>
      </c>
    </row>
    <row r="536" spans="1:4" x14ac:dyDescent="0.25">
      <c r="A536" s="9">
        <v>12</v>
      </c>
      <c r="B536" s="9" t="s">
        <v>515</v>
      </c>
      <c r="C536" s="9" t="s">
        <v>2</v>
      </c>
      <c r="D536" s="9">
        <v>3</v>
      </c>
    </row>
    <row r="537" spans="1:4" x14ac:dyDescent="0.25">
      <c r="A537" s="9">
        <v>12</v>
      </c>
      <c r="B537" s="9" t="s">
        <v>516</v>
      </c>
      <c r="C537" s="9" t="s">
        <v>2</v>
      </c>
      <c r="D537" s="9">
        <v>3</v>
      </c>
    </row>
    <row r="538" spans="1:4" x14ac:dyDescent="0.25">
      <c r="A538" s="9">
        <v>12</v>
      </c>
      <c r="B538" s="9" t="s">
        <v>517</v>
      </c>
      <c r="C538" s="9" t="s">
        <v>2</v>
      </c>
      <c r="D538" s="9">
        <v>3</v>
      </c>
    </row>
    <row r="539" spans="1:4" x14ac:dyDescent="0.25">
      <c r="A539" s="9">
        <v>12</v>
      </c>
      <c r="B539" s="9" t="s">
        <v>518</v>
      </c>
      <c r="C539" s="9" t="s">
        <v>2</v>
      </c>
      <c r="D539" s="9">
        <v>3</v>
      </c>
    </row>
    <row r="540" spans="1:4" x14ac:dyDescent="0.25">
      <c r="A540" s="9">
        <v>12</v>
      </c>
      <c r="B540" s="9" t="s">
        <v>519</v>
      </c>
      <c r="C540" s="9" t="s">
        <v>2</v>
      </c>
      <c r="D540" s="9">
        <v>3</v>
      </c>
    </row>
    <row r="541" spans="1:4" x14ac:dyDescent="0.25">
      <c r="A541" s="9">
        <v>12</v>
      </c>
      <c r="B541" s="9" t="s">
        <v>520</v>
      </c>
      <c r="C541" s="9" t="s">
        <v>2</v>
      </c>
      <c r="D541" s="9">
        <v>3</v>
      </c>
    </row>
    <row r="542" spans="1:4" x14ac:dyDescent="0.25">
      <c r="A542" s="9">
        <v>12</v>
      </c>
      <c r="B542" s="9" t="s">
        <v>521</v>
      </c>
      <c r="C542" s="9" t="s">
        <v>2</v>
      </c>
      <c r="D542" s="9">
        <v>3</v>
      </c>
    </row>
    <row r="543" spans="1:4" x14ac:dyDescent="0.25">
      <c r="A543" s="9">
        <v>12</v>
      </c>
      <c r="B543" s="9" t="s">
        <v>522</v>
      </c>
      <c r="C543" s="9" t="s">
        <v>2</v>
      </c>
      <c r="D543" s="9">
        <v>3</v>
      </c>
    </row>
    <row r="544" spans="1:4" x14ac:dyDescent="0.25">
      <c r="A544" s="9">
        <v>12</v>
      </c>
      <c r="B544" s="9" t="s">
        <v>523</v>
      </c>
      <c r="C544" s="9" t="s">
        <v>2</v>
      </c>
      <c r="D544" s="9">
        <v>3</v>
      </c>
    </row>
    <row r="545" spans="1:4" x14ac:dyDescent="0.25">
      <c r="A545" s="9">
        <v>12</v>
      </c>
      <c r="B545" s="9" t="s">
        <v>524</v>
      </c>
      <c r="C545" s="9" t="s">
        <v>2</v>
      </c>
      <c r="D545" s="9">
        <v>3</v>
      </c>
    </row>
    <row r="546" spans="1:4" x14ac:dyDescent="0.25">
      <c r="A546" s="9">
        <v>12</v>
      </c>
      <c r="B546" s="9" t="s">
        <v>525</v>
      </c>
      <c r="C546" s="9" t="s">
        <v>2</v>
      </c>
      <c r="D546" s="9">
        <v>3</v>
      </c>
    </row>
    <row r="547" spans="1:4" x14ac:dyDescent="0.25">
      <c r="A547" s="9">
        <v>12</v>
      </c>
      <c r="B547" s="9" t="s">
        <v>526</v>
      </c>
      <c r="C547" s="9" t="s">
        <v>2</v>
      </c>
      <c r="D547" s="9">
        <v>3</v>
      </c>
    </row>
    <row r="548" spans="1:4" x14ac:dyDescent="0.25">
      <c r="A548" s="9">
        <v>12</v>
      </c>
      <c r="B548" s="9" t="s">
        <v>527</v>
      </c>
      <c r="C548" s="9" t="s">
        <v>2</v>
      </c>
      <c r="D548" s="9">
        <v>3</v>
      </c>
    </row>
    <row r="549" spans="1:4" x14ac:dyDescent="0.25">
      <c r="A549" s="9">
        <v>12</v>
      </c>
      <c r="B549" s="9" t="s">
        <v>528</v>
      </c>
      <c r="C549" s="9" t="s">
        <v>2</v>
      </c>
      <c r="D549" s="9">
        <v>3</v>
      </c>
    </row>
    <row r="550" spans="1:4" x14ac:dyDescent="0.25">
      <c r="A550" s="9">
        <v>12</v>
      </c>
      <c r="B550" s="9" t="s">
        <v>529</v>
      </c>
      <c r="C550" s="9" t="s">
        <v>2</v>
      </c>
      <c r="D550" s="9">
        <v>3</v>
      </c>
    </row>
    <row r="551" spans="1:4" x14ac:dyDescent="0.25">
      <c r="A551" s="9">
        <v>12</v>
      </c>
      <c r="B551" s="9" t="s">
        <v>530</v>
      </c>
      <c r="C551" s="9" t="s">
        <v>2</v>
      </c>
      <c r="D551" s="9">
        <v>3</v>
      </c>
    </row>
    <row r="552" spans="1:4" x14ac:dyDescent="0.25">
      <c r="A552" s="9">
        <v>12</v>
      </c>
      <c r="B552" s="9" t="s">
        <v>531</v>
      </c>
      <c r="C552" s="9" t="s">
        <v>2</v>
      </c>
      <c r="D552" s="9">
        <v>3</v>
      </c>
    </row>
    <row r="553" spans="1:4" x14ac:dyDescent="0.25">
      <c r="A553" s="9">
        <v>12</v>
      </c>
      <c r="B553" s="9" t="s">
        <v>532</v>
      </c>
      <c r="C553" s="9" t="s">
        <v>2</v>
      </c>
      <c r="D553" s="9">
        <v>3</v>
      </c>
    </row>
    <row r="554" spans="1:4" x14ac:dyDescent="0.25">
      <c r="A554" s="9">
        <v>12</v>
      </c>
      <c r="B554" s="9" t="s">
        <v>533</v>
      </c>
      <c r="C554" s="9" t="s">
        <v>2</v>
      </c>
      <c r="D554" s="9">
        <v>3</v>
      </c>
    </row>
    <row r="555" spans="1:4" x14ac:dyDescent="0.25">
      <c r="A555" s="9">
        <v>12</v>
      </c>
      <c r="B555" s="9" t="s">
        <v>534</v>
      </c>
      <c r="C555" s="9" t="s">
        <v>2</v>
      </c>
      <c r="D555" s="9">
        <v>3</v>
      </c>
    </row>
    <row r="556" spans="1:4" x14ac:dyDescent="0.25">
      <c r="A556" s="9">
        <v>12</v>
      </c>
      <c r="B556" s="9" t="s">
        <v>535</v>
      </c>
      <c r="C556" s="9" t="s">
        <v>2</v>
      </c>
      <c r="D556" s="9">
        <v>3</v>
      </c>
    </row>
    <row r="557" spans="1:4" x14ac:dyDescent="0.25">
      <c r="A557" s="9">
        <v>12</v>
      </c>
      <c r="B557" s="9" t="s">
        <v>536</v>
      </c>
      <c r="C557" s="9" t="s">
        <v>2</v>
      </c>
      <c r="D557" s="9">
        <v>3</v>
      </c>
    </row>
    <row r="558" spans="1:4" x14ac:dyDescent="0.25">
      <c r="A558" s="9">
        <v>12</v>
      </c>
      <c r="B558" s="9" t="s">
        <v>537</v>
      </c>
      <c r="C558" s="9" t="s">
        <v>2</v>
      </c>
      <c r="D558" s="9">
        <v>3</v>
      </c>
    </row>
    <row r="559" spans="1:4" x14ac:dyDescent="0.25">
      <c r="A559" s="9">
        <v>12</v>
      </c>
      <c r="B559" s="9" t="s">
        <v>538</v>
      </c>
      <c r="C559" s="9" t="s">
        <v>2</v>
      </c>
      <c r="D559" s="9">
        <v>3</v>
      </c>
    </row>
    <row r="560" spans="1:4" x14ac:dyDescent="0.25">
      <c r="A560" s="9">
        <v>12</v>
      </c>
      <c r="B560" s="9" t="s">
        <v>539</v>
      </c>
      <c r="C560" s="9" t="s">
        <v>2</v>
      </c>
      <c r="D560" s="9">
        <v>3</v>
      </c>
    </row>
    <row r="561" spans="1:4" x14ac:dyDescent="0.25">
      <c r="A561" s="9">
        <v>12</v>
      </c>
      <c r="B561" s="9" t="s">
        <v>540</v>
      </c>
      <c r="C561" s="9" t="s">
        <v>2</v>
      </c>
      <c r="D561" s="9">
        <v>3</v>
      </c>
    </row>
    <row r="562" spans="1:4" x14ac:dyDescent="0.25">
      <c r="A562" s="9">
        <v>12</v>
      </c>
      <c r="B562" s="9" t="s">
        <v>541</v>
      </c>
      <c r="C562" s="9" t="s">
        <v>2</v>
      </c>
      <c r="D562" s="9">
        <v>3</v>
      </c>
    </row>
    <row r="563" spans="1:4" x14ac:dyDescent="0.25">
      <c r="A563" s="9">
        <v>12</v>
      </c>
      <c r="B563" s="9" t="s">
        <v>542</v>
      </c>
      <c r="C563" s="9" t="s">
        <v>2</v>
      </c>
      <c r="D563" s="9">
        <v>3</v>
      </c>
    </row>
    <row r="564" spans="1:4" x14ac:dyDescent="0.25">
      <c r="A564" s="9">
        <v>12</v>
      </c>
      <c r="B564" s="9" t="s">
        <v>543</v>
      </c>
      <c r="C564" s="9" t="s">
        <v>2</v>
      </c>
      <c r="D564" s="9">
        <v>3</v>
      </c>
    </row>
    <row r="565" spans="1:4" x14ac:dyDescent="0.25">
      <c r="A565" s="9">
        <v>12</v>
      </c>
      <c r="B565" s="9" t="s">
        <v>544</v>
      </c>
      <c r="C565" s="9" t="s">
        <v>2</v>
      </c>
      <c r="D565" s="9">
        <v>3</v>
      </c>
    </row>
    <row r="566" spans="1:4" x14ac:dyDescent="0.25">
      <c r="A566" s="9">
        <v>12</v>
      </c>
      <c r="B566" s="9" t="s">
        <v>545</v>
      </c>
      <c r="C566" s="9" t="s">
        <v>2</v>
      </c>
      <c r="D566" s="9">
        <v>3</v>
      </c>
    </row>
    <row r="567" spans="1:4" x14ac:dyDescent="0.25">
      <c r="A567" s="9">
        <v>12</v>
      </c>
      <c r="B567" s="9" t="s">
        <v>546</v>
      </c>
      <c r="C567" s="9" t="s">
        <v>2</v>
      </c>
      <c r="D567" s="9">
        <v>3</v>
      </c>
    </row>
    <row r="568" spans="1:4" x14ac:dyDescent="0.25">
      <c r="A568" s="9">
        <v>12</v>
      </c>
      <c r="B568" s="9" t="s">
        <v>547</v>
      </c>
      <c r="C568" s="9" t="s">
        <v>2</v>
      </c>
      <c r="D568" s="9">
        <v>3</v>
      </c>
    </row>
    <row r="569" spans="1:4" x14ac:dyDescent="0.25">
      <c r="A569" s="9">
        <v>12</v>
      </c>
      <c r="B569" s="9" t="s">
        <v>548</v>
      </c>
      <c r="C569" s="9" t="s">
        <v>2</v>
      </c>
      <c r="D569" s="9">
        <v>3</v>
      </c>
    </row>
    <row r="570" spans="1:4" x14ac:dyDescent="0.25">
      <c r="A570" s="9">
        <v>12</v>
      </c>
      <c r="B570" s="9" t="s">
        <v>549</v>
      </c>
      <c r="C570" s="9" t="s">
        <v>2</v>
      </c>
      <c r="D570" s="9">
        <v>3</v>
      </c>
    </row>
    <row r="571" spans="1:4" x14ac:dyDescent="0.25">
      <c r="A571" s="9">
        <v>12</v>
      </c>
      <c r="B571" s="9" t="s">
        <v>550</v>
      </c>
      <c r="C571" s="9" t="s">
        <v>2</v>
      </c>
      <c r="D571" s="9">
        <v>3</v>
      </c>
    </row>
    <row r="572" spans="1:4" x14ac:dyDescent="0.25">
      <c r="A572" s="9">
        <v>12</v>
      </c>
      <c r="B572" s="9" t="s">
        <v>551</v>
      </c>
      <c r="C572" s="9" t="s">
        <v>2</v>
      </c>
      <c r="D572" s="9">
        <v>3</v>
      </c>
    </row>
    <row r="573" spans="1:4" x14ac:dyDescent="0.25">
      <c r="A573" s="9">
        <v>12</v>
      </c>
      <c r="B573" s="9" t="s">
        <v>552</v>
      </c>
      <c r="C573" s="9" t="s">
        <v>2</v>
      </c>
      <c r="D573" s="9">
        <v>3</v>
      </c>
    </row>
    <row r="574" spans="1:4" x14ac:dyDescent="0.25">
      <c r="A574" s="9">
        <v>12</v>
      </c>
      <c r="B574" s="9" t="s">
        <v>553</v>
      </c>
      <c r="C574" s="9" t="s">
        <v>2</v>
      </c>
      <c r="D574" s="9">
        <v>3</v>
      </c>
    </row>
    <row r="575" spans="1:4" x14ac:dyDescent="0.25">
      <c r="A575" s="9">
        <v>12</v>
      </c>
      <c r="B575" s="9" t="s">
        <v>554</v>
      </c>
      <c r="C575" s="9" t="s">
        <v>2</v>
      </c>
      <c r="D575" s="9">
        <v>3</v>
      </c>
    </row>
    <row r="576" spans="1:4" x14ac:dyDescent="0.25">
      <c r="A576" s="9">
        <v>12</v>
      </c>
      <c r="B576" s="9" t="s">
        <v>555</v>
      </c>
      <c r="C576" s="9" t="s">
        <v>2</v>
      </c>
      <c r="D576" s="9">
        <v>3</v>
      </c>
    </row>
    <row r="577" spans="1:4" x14ac:dyDescent="0.25">
      <c r="A577" s="9">
        <v>12</v>
      </c>
      <c r="B577" s="9" t="s">
        <v>556</v>
      </c>
      <c r="C577" s="9" t="s">
        <v>2</v>
      </c>
      <c r="D577" s="9">
        <v>3</v>
      </c>
    </row>
    <row r="578" spans="1:4" x14ac:dyDescent="0.25">
      <c r="A578" s="9">
        <v>12</v>
      </c>
      <c r="B578" s="9" t="s">
        <v>557</v>
      </c>
      <c r="C578" s="9" t="s">
        <v>2</v>
      </c>
      <c r="D578" s="9">
        <v>3</v>
      </c>
    </row>
    <row r="579" spans="1:4" x14ac:dyDescent="0.25">
      <c r="A579" s="9">
        <v>12</v>
      </c>
      <c r="B579" s="9" t="s">
        <v>558</v>
      </c>
      <c r="C579" s="9" t="s">
        <v>2</v>
      </c>
      <c r="D579" s="9">
        <v>3</v>
      </c>
    </row>
    <row r="580" spans="1:4" x14ac:dyDescent="0.25">
      <c r="A580" s="9">
        <v>12</v>
      </c>
      <c r="B580" s="9" t="s">
        <v>559</v>
      </c>
      <c r="C580" s="9" t="s">
        <v>2</v>
      </c>
      <c r="D580" s="9">
        <v>3</v>
      </c>
    </row>
    <row r="581" spans="1:4" x14ac:dyDescent="0.25">
      <c r="A581" s="9">
        <v>12</v>
      </c>
      <c r="B581" s="9" t="s">
        <v>560</v>
      </c>
      <c r="C581" s="9" t="s">
        <v>2</v>
      </c>
      <c r="D581" s="9">
        <v>3</v>
      </c>
    </row>
    <row r="582" spans="1:4" x14ac:dyDescent="0.25">
      <c r="A582" s="9">
        <v>12</v>
      </c>
      <c r="B582" s="9" t="s">
        <v>561</v>
      </c>
      <c r="C582" s="9" t="s">
        <v>2</v>
      </c>
      <c r="D582" s="9">
        <v>3</v>
      </c>
    </row>
    <row r="583" spans="1:4" x14ac:dyDescent="0.25">
      <c r="A583" s="9">
        <v>12</v>
      </c>
      <c r="B583" s="9" t="s">
        <v>562</v>
      </c>
      <c r="C583" s="9" t="s">
        <v>2</v>
      </c>
      <c r="D583" s="9">
        <v>3</v>
      </c>
    </row>
    <row r="584" spans="1:4" x14ac:dyDescent="0.25">
      <c r="A584" s="9">
        <v>12</v>
      </c>
      <c r="B584" s="9" t="s">
        <v>563</v>
      </c>
      <c r="C584" s="9" t="s">
        <v>2</v>
      </c>
      <c r="D584" s="9">
        <v>3</v>
      </c>
    </row>
    <row r="585" spans="1:4" x14ac:dyDescent="0.25">
      <c r="A585" s="9">
        <v>12</v>
      </c>
      <c r="B585" s="9" t="s">
        <v>564</v>
      </c>
      <c r="C585" s="9" t="s">
        <v>2</v>
      </c>
      <c r="D585" s="9">
        <v>3</v>
      </c>
    </row>
    <row r="586" spans="1:4" x14ac:dyDescent="0.25">
      <c r="A586" s="9">
        <v>12</v>
      </c>
      <c r="B586" s="9" t="s">
        <v>565</v>
      </c>
      <c r="C586" s="9" t="s">
        <v>2</v>
      </c>
      <c r="D586" s="9">
        <v>3</v>
      </c>
    </row>
    <row r="587" spans="1:4" x14ac:dyDescent="0.25">
      <c r="A587" s="9">
        <v>12</v>
      </c>
      <c r="B587" s="9" t="s">
        <v>359</v>
      </c>
      <c r="C587" s="9" t="s">
        <v>2</v>
      </c>
      <c r="D587" s="9">
        <v>3</v>
      </c>
    </row>
    <row r="588" spans="1:4" x14ac:dyDescent="0.25">
      <c r="A588" s="9">
        <v>12</v>
      </c>
      <c r="B588" s="9" t="s">
        <v>566</v>
      </c>
      <c r="C588" s="9" t="s">
        <v>2</v>
      </c>
      <c r="D588" s="9">
        <v>3</v>
      </c>
    </row>
    <row r="589" spans="1:4" x14ac:dyDescent="0.25">
      <c r="A589" s="9">
        <v>12</v>
      </c>
      <c r="B589" s="9" t="s">
        <v>567</v>
      </c>
      <c r="C589" s="9" t="s">
        <v>2</v>
      </c>
      <c r="D589" s="9">
        <v>3</v>
      </c>
    </row>
    <row r="590" spans="1:4" x14ac:dyDescent="0.25">
      <c r="A590" s="9">
        <v>12</v>
      </c>
      <c r="B590" s="9" t="s">
        <v>568</v>
      </c>
      <c r="C590" s="9" t="s">
        <v>2</v>
      </c>
      <c r="D590" s="9">
        <v>3</v>
      </c>
    </row>
    <row r="591" spans="1:4" x14ac:dyDescent="0.25">
      <c r="A591" s="9">
        <v>12</v>
      </c>
      <c r="B591" s="9" t="s">
        <v>569</v>
      </c>
      <c r="C591" s="9" t="s">
        <v>2</v>
      </c>
      <c r="D591" s="9">
        <v>3</v>
      </c>
    </row>
    <row r="592" spans="1:4" x14ac:dyDescent="0.25">
      <c r="A592" s="9">
        <v>12</v>
      </c>
      <c r="B592" s="9" t="s">
        <v>570</v>
      </c>
      <c r="C592" s="9" t="s">
        <v>2</v>
      </c>
      <c r="D592" s="9">
        <v>3</v>
      </c>
    </row>
    <row r="593" spans="1:4" x14ac:dyDescent="0.25">
      <c r="A593" s="9">
        <v>12</v>
      </c>
      <c r="B593" s="9" t="s">
        <v>571</v>
      </c>
      <c r="C593" s="9" t="s">
        <v>2</v>
      </c>
      <c r="D593" s="9">
        <v>3</v>
      </c>
    </row>
    <row r="594" spans="1:4" x14ac:dyDescent="0.25">
      <c r="A594" s="9">
        <v>12</v>
      </c>
      <c r="B594" s="9" t="s">
        <v>572</v>
      </c>
      <c r="C594" s="9" t="s">
        <v>2</v>
      </c>
      <c r="D594" s="9">
        <v>3</v>
      </c>
    </row>
    <row r="595" spans="1:4" x14ac:dyDescent="0.25">
      <c r="A595" s="9">
        <v>12</v>
      </c>
      <c r="B595" s="9" t="s">
        <v>573</v>
      </c>
      <c r="C595" s="9" t="s">
        <v>2</v>
      </c>
      <c r="D595" s="9">
        <v>3</v>
      </c>
    </row>
    <row r="596" spans="1:4" x14ac:dyDescent="0.25">
      <c r="A596" s="9">
        <v>12</v>
      </c>
      <c r="B596" s="9" t="s">
        <v>574</v>
      </c>
      <c r="C596" s="9" t="s">
        <v>2</v>
      </c>
      <c r="D596" s="9">
        <v>3</v>
      </c>
    </row>
    <row r="597" spans="1:4" x14ac:dyDescent="0.25">
      <c r="A597" s="9">
        <v>12</v>
      </c>
      <c r="B597" s="9" t="s">
        <v>575</v>
      </c>
      <c r="C597" s="9" t="s">
        <v>2</v>
      </c>
      <c r="D597" s="9">
        <v>3</v>
      </c>
    </row>
    <row r="598" spans="1:4" x14ac:dyDescent="0.25">
      <c r="A598" s="9">
        <v>12</v>
      </c>
      <c r="B598" s="9" t="s">
        <v>576</v>
      </c>
      <c r="C598" s="9" t="s">
        <v>2</v>
      </c>
      <c r="D598" s="9">
        <v>3</v>
      </c>
    </row>
    <row r="599" spans="1:4" x14ac:dyDescent="0.25">
      <c r="A599" s="9">
        <v>12</v>
      </c>
      <c r="B599" s="9" t="s">
        <v>577</v>
      </c>
      <c r="C599" s="9" t="s">
        <v>2</v>
      </c>
      <c r="D599" s="9">
        <v>3</v>
      </c>
    </row>
    <row r="600" spans="1:4" x14ac:dyDescent="0.25">
      <c r="A600" s="9">
        <v>12</v>
      </c>
      <c r="B600" s="9" t="s">
        <v>578</v>
      </c>
      <c r="C600" s="9" t="s">
        <v>2</v>
      </c>
      <c r="D600" s="9">
        <v>3</v>
      </c>
    </row>
    <row r="601" spans="1:4" x14ac:dyDescent="0.25">
      <c r="A601" s="9">
        <v>12</v>
      </c>
      <c r="B601" s="9" t="s">
        <v>579</v>
      </c>
      <c r="C601" s="9" t="s">
        <v>2</v>
      </c>
      <c r="D601" s="9">
        <v>3</v>
      </c>
    </row>
    <row r="602" spans="1:4" x14ac:dyDescent="0.25">
      <c r="A602" s="9">
        <v>12</v>
      </c>
      <c r="B602" s="9" t="s">
        <v>580</v>
      </c>
      <c r="C602" s="9" t="s">
        <v>2</v>
      </c>
      <c r="D602" s="9">
        <v>3</v>
      </c>
    </row>
    <row r="603" spans="1:4" x14ac:dyDescent="0.25">
      <c r="A603" s="9">
        <v>12</v>
      </c>
      <c r="B603" s="9" t="s">
        <v>581</v>
      </c>
      <c r="C603" s="9" t="s">
        <v>2</v>
      </c>
      <c r="D603" s="9">
        <v>3</v>
      </c>
    </row>
    <row r="604" spans="1:4" x14ac:dyDescent="0.25">
      <c r="A604" s="9">
        <v>12</v>
      </c>
      <c r="B604" s="9" t="s">
        <v>288</v>
      </c>
      <c r="C604" s="9" t="s">
        <v>2</v>
      </c>
      <c r="D604" s="9">
        <v>3</v>
      </c>
    </row>
    <row r="605" spans="1:4" x14ac:dyDescent="0.25">
      <c r="A605" s="9">
        <v>12</v>
      </c>
      <c r="B605" s="9" t="s">
        <v>582</v>
      </c>
      <c r="C605" s="9" t="s">
        <v>2</v>
      </c>
      <c r="D605" s="9">
        <v>3</v>
      </c>
    </row>
    <row r="606" spans="1:4" x14ac:dyDescent="0.25">
      <c r="A606" s="9">
        <v>12</v>
      </c>
      <c r="B606" s="9" t="s">
        <v>583</v>
      </c>
      <c r="C606" s="9" t="s">
        <v>2</v>
      </c>
      <c r="D606" s="9">
        <v>3</v>
      </c>
    </row>
    <row r="607" spans="1:4" x14ac:dyDescent="0.25">
      <c r="A607" s="9">
        <v>12</v>
      </c>
      <c r="B607" s="9" t="s">
        <v>584</v>
      </c>
      <c r="C607" s="9" t="s">
        <v>2</v>
      </c>
      <c r="D607" s="9">
        <v>3</v>
      </c>
    </row>
    <row r="608" spans="1:4" x14ac:dyDescent="0.25">
      <c r="A608" s="9">
        <v>12</v>
      </c>
      <c r="B608" s="9" t="s">
        <v>286</v>
      </c>
      <c r="C608" s="9" t="s">
        <v>3</v>
      </c>
      <c r="D608" s="9">
        <v>3</v>
      </c>
    </row>
    <row r="609" spans="1:4" x14ac:dyDescent="0.25">
      <c r="A609" s="9">
        <v>12</v>
      </c>
      <c r="B609" s="9" t="s">
        <v>287</v>
      </c>
      <c r="C609" s="9" t="s">
        <v>3</v>
      </c>
      <c r="D609" s="9">
        <v>3</v>
      </c>
    </row>
    <row r="610" spans="1:4" x14ac:dyDescent="0.25">
      <c r="A610" s="9">
        <v>12</v>
      </c>
      <c r="B610" s="9" t="s">
        <v>288</v>
      </c>
      <c r="C610" s="9" t="s">
        <v>3</v>
      </c>
      <c r="D610" s="9">
        <v>3</v>
      </c>
    </row>
    <row r="611" spans="1:4" x14ac:dyDescent="0.25">
      <c r="A611" s="9">
        <v>12</v>
      </c>
      <c r="B611" s="9" t="s">
        <v>289</v>
      </c>
      <c r="C611" s="9" t="s">
        <v>3</v>
      </c>
      <c r="D611" s="9">
        <v>3</v>
      </c>
    </row>
    <row r="612" spans="1:4" x14ac:dyDescent="0.25">
      <c r="A612" s="9">
        <v>12</v>
      </c>
      <c r="B612" s="9" t="s">
        <v>290</v>
      </c>
      <c r="C612" s="9" t="s">
        <v>3</v>
      </c>
      <c r="D612" s="9">
        <v>3</v>
      </c>
    </row>
    <row r="613" spans="1:4" x14ac:dyDescent="0.25">
      <c r="A613" s="9">
        <v>12</v>
      </c>
      <c r="B613" s="9" t="s">
        <v>291</v>
      </c>
      <c r="C613" s="9" t="s">
        <v>3</v>
      </c>
      <c r="D613" s="9">
        <v>3</v>
      </c>
    </row>
    <row r="614" spans="1:4" x14ac:dyDescent="0.25">
      <c r="A614" s="9">
        <v>12</v>
      </c>
      <c r="B614" s="9" t="s">
        <v>292</v>
      </c>
      <c r="C614" s="9" t="s">
        <v>3</v>
      </c>
      <c r="D614" s="9">
        <v>3</v>
      </c>
    </row>
    <row r="615" spans="1:4" x14ac:dyDescent="0.25">
      <c r="A615" s="9">
        <v>12</v>
      </c>
      <c r="B615" s="9" t="s">
        <v>293</v>
      </c>
      <c r="C615" s="9" t="s">
        <v>3</v>
      </c>
      <c r="D615" s="9">
        <v>3</v>
      </c>
    </row>
    <row r="616" spans="1:4" x14ac:dyDescent="0.25">
      <c r="A616" s="9">
        <v>12</v>
      </c>
      <c r="B616" s="9" t="s">
        <v>294</v>
      </c>
      <c r="C616" s="9" t="s">
        <v>3</v>
      </c>
      <c r="D616" s="9">
        <v>3</v>
      </c>
    </row>
    <row r="617" spans="1:4" x14ac:dyDescent="0.25">
      <c r="A617" s="9">
        <v>12</v>
      </c>
      <c r="B617" s="9" t="s">
        <v>295</v>
      </c>
      <c r="C617" s="9" t="s">
        <v>3</v>
      </c>
      <c r="D617" s="9">
        <v>3</v>
      </c>
    </row>
    <row r="618" spans="1:4" x14ac:dyDescent="0.25">
      <c r="A618" s="9">
        <v>12</v>
      </c>
      <c r="B618" s="9" t="s">
        <v>296</v>
      </c>
      <c r="C618" s="9" t="s">
        <v>3</v>
      </c>
      <c r="D618" s="9">
        <v>3</v>
      </c>
    </row>
    <row r="619" spans="1:4" x14ac:dyDescent="0.25">
      <c r="A619" s="9">
        <v>12</v>
      </c>
      <c r="B619" s="9" t="s">
        <v>297</v>
      </c>
      <c r="C619" s="9" t="s">
        <v>3</v>
      </c>
      <c r="D619" s="9">
        <v>3</v>
      </c>
    </row>
    <row r="620" spans="1:4" x14ac:dyDescent="0.25">
      <c r="A620" s="9">
        <v>12</v>
      </c>
      <c r="B620" s="9" t="s">
        <v>298</v>
      </c>
      <c r="C620" s="9" t="s">
        <v>3</v>
      </c>
      <c r="D620" s="9">
        <v>3</v>
      </c>
    </row>
    <row r="621" spans="1:4" x14ac:dyDescent="0.25">
      <c r="A621" s="9">
        <v>12</v>
      </c>
      <c r="B621" s="9" t="s">
        <v>299</v>
      </c>
      <c r="C621" s="9" t="s">
        <v>3</v>
      </c>
      <c r="D621" s="9">
        <v>3</v>
      </c>
    </row>
    <row r="622" spans="1:4" x14ac:dyDescent="0.25">
      <c r="A622" s="9">
        <v>12</v>
      </c>
      <c r="B622" s="9" t="s">
        <v>300</v>
      </c>
      <c r="C622" s="9" t="s">
        <v>3</v>
      </c>
      <c r="D622" s="9">
        <v>3</v>
      </c>
    </row>
    <row r="623" spans="1:4" x14ac:dyDescent="0.25">
      <c r="A623" s="9">
        <v>12</v>
      </c>
      <c r="B623" s="9" t="s">
        <v>301</v>
      </c>
      <c r="C623" s="9" t="s">
        <v>3</v>
      </c>
      <c r="D623" s="9">
        <v>3</v>
      </c>
    </row>
    <row r="624" spans="1:4" x14ac:dyDescent="0.25">
      <c r="A624" s="9">
        <v>12</v>
      </c>
      <c r="B624" s="9" t="s">
        <v>302</v>
      </c>
      <c r="C624" s="9" t="s">
        <v>3</v>
      </c>
      <c r="D624" s="9">
        <v>3</v>
      </c>
    </row>
    <row r="625" spans="1:4" x14ac:dyDescent="0.25">
      <c r="A625" s="9">
        <v>12</v>
      </c>
      <c r="B625" s="9" t="s">
        <v>303</v>
      </c>
      <c r="C625" s="9" t="s">
        <v>3</v>
      </c>
      <c r="D625" s="9">
        <v>3</v>
      </c>
    </row>
    <row r="626" spans="1:4" x14ac:dyDescent="0.25">
      <c r="A626" s="9">
        <v>12</v>
      </c>
      <c r="B626" s="9" t="s">
        <v>304</v>
      </c>
      <c r="C626" s="9" t="s">
        <v>3</v>
      </c>
      <c r="D626" s="9">
        <v>3</v>
      </c>
    </row>
    <row r="627" spans="1:4" x14ac:dyDescent="0.25">
      <c r="A627" s="9">
        <v>12</v>
      </c>
      <c r="B627" s="9" t="s">
        <v>305</v>
      </c>
      <c r="C627" s="9" t="s">
        <v>3</v>
      </c>
      <c r="D627" s="9">
        <v>3</v>
      </c>
    </row>
    <row r="628" spans="1:4" x14ac:dyDescent="0.25">
      <c r="A628" s="9">
        <v>12</v>
      </c>
      <c r="B628" s="9" t="s">
        <v>306</v>
      </c>
      <c r="C628" s="9" t="s">
        <v>3</v>
      </c>
      <c r="D628" s="9">
        <v>3</v>
      </c>
    </row>
    <row r="629" spans="1:4" x14ac:dyDescent="0.25">
      <c r="A629" s="9">
        <v>12</v>
      </c>
      <c r="B629" s="9" t="s">
        <v>307</v>
      </c>
      <c r="C629" s="9" t="s">
        <v>3</v>
      </c>
      <c r="D629" s="9">
        <v>3</v>
      </c>
    </row>
    <row r="630" spans="1:4" x14ac:dyDescent="0.25">
      <c r="A630" s="9">
        <v>12</v>
      </c>
      <c r="B630" s="9" t="s">
        <v>308</v>
      </c>
      <c r="C630" s="9" t="s">
        <v>3</v>
      </c>
      <c r="D630" s="9">
        <v>3</v>
      </c>
    </row>
    <row r="631" spans="1:4" x14ac:dyDescent="0.25">
      <c r="A631" s="9">
        <v>12</v>
      </c>
      <c r="B631" s="9" t="s">
        <v>309</v>
      </c>
      <c r="C631" s="9" t="s">
        <v>3</v>
      </c>
      <c r="D631" s="9">
        <v>3</v>
      </c>
    </row>
    <row r="632" spans="1:4" x14ac:dyDescent="0.25">
      <c r="A632" s="9">
        <v>12</v>
      </c>
      <c r="B632" s="9" t="s">
        <v>310</v>
      </c>
      <c r="C632" s="9" t="s">
        <v>3</v>
      </c>
      <c r="D632" s="9">
        <v>3</v>
      </c>
    </row>
    <row r="633" spans="1:4" x14ac:dyDescent="0.25">
      <c r="A633" s="9">
        <v>12</v>
      </c>
      <c r="B633" s="9" t="s">
        <v>311</v>
      </c>
      <c r="C633" s="9" t="s">
        <v>3</v>
      </c>
      <c r="D633" s="9">
        <v>3</v>
      </c>
    </row>
    <row r="634" spans="1:4" x14ac:dyDescent="0.25">
      <c r="A634" s="9">
        <v>12</v>
      </c>
      <c r="B634" s="9" t="s">
        <v>312</v>
      </c>
      <c r="C634" s="9" t="s">
        <v>3</v>
      </c>
      <c r="D634" s="9">
        <v>3</v>
      </c>
    </row>
    <row r="635" spans="1:4" x14ac:dyDescent="0.25">
      <c r="A635" s="9">
        <v>12</v>
      </c>
      <c r="B635" s="9" t="s">
        <v>313</v>
      </c>
      <c r="C635" s="9" t="s">
        <v>3</v>
      </c>
      <c r="D635" s="9">
        <v>3</v>
      </c>
    </row>
    <row r="636" spans="1:4" x14ac:dyDescent="0.25">
      <c r="A636" s="9">
        <v>12</v>
      </c>
      <c r="B636" s="9" t="s">
        <v>314</v>
      </c>
      <c r="C636" s="9" t="s">
        <v>3</v>
      </c>
      <c r="D636" s="9">
        <v>3</v>
      </c>
    </row>
    <row r="637" spans="1:4" x14ac:dyDescent="0.25">
      <c r="A637" s="9">
        <v>12</v>
      </c>
      <c r="B637" s="9" t="s">
        <v>315</v>
      </c>
      <c r="C637" s="9" t="s">
        <v>3</v>
      </c>
      <c r="D637" s="9">
        <v>3</v>
      </c>
    </row>
    <row r="638" spans="1:4" x14ac:dyDescent="0.25">
      <c r="A638" s="9">
        <v>12</v>
      </c>
      <c r="B638" s="9" t="s">
        <v>316</v>
      </c>
      <c r="C638" s="9" t="s">
        <v>3</v>
      </c>
      <c r="D638" s="9">
        <v>3</v>
      </c>
    </row>
    <row r="639" spans="1:4" x14ac:dyDescent="0.25">
      <c r="A639" s="9">
        <v>12</v>
      </c>
      <c r="B639" s="9" t="s">
        <v>317</v>
      </c>
      <c r="C639" s="9" t="s">
        <v>3</v>
      </c>
      <c r="D639" s="9">
        <v>3</v>
      </c>
    </row>
    <row r="640" spans="1:4" x14ac:dyDescent="0.25">
      <c r="A640" s="9">
        <v>12</v>
      </c>
      <c r="B640" s="9" t="s">
        <v>318</v>
      </c>
      <c r="C640" s="9" t="s">
        <v>3</v>
      </c>
      <c r="D640" s="9">
        <v>3</v>
      </c>
    </row>
    <row r="641" spans="1:4" x14ac:dyDescent="0.25">
      <c r="A641" s="9">
        <v>12</v>
      </c>
      <c r="B641" s="9" t="s">
        <v>319</v>
      </c>
      <c r="C641" s="9" t="s">
        <v>3</v>
      </c>
      <c r="D641" s="9">
        <v>3</v>
      </c>
    </row>
    <row r="642" spans="1:4" x14ac:dyDescent="0.25">
      <c r="A642" s="9">
        <v>12</v>
      </c>
      <c r="B642" s="9" t="s">
        <v>320</v>
      </c>
      <c r="C642" s="9" t="s">
        <v>3</v>
      </c>
      <c r="D642" s="9">
        <v>3</v>
      </c>
    </row>
    <row r="643" spans="1:4" x14ac:dyDescent="0.25">
      <c r="A643" s="9">
        <v>12</v>
      </c>
      <c r="B643" s="9" t="s">
        <v>321</v>
      </c>
      <c r="C643" s="9" t="s">
        <v>3</v>
      </c>
      <c r="D643" s="9">
        <v>3</v>
      </c>
    </row>
    <row r="644" spans="1:4" x14ac:dyDescent="0.25">
      <c r="A644" s="9">
        <v>12</v>
      </c>
      <c r="B644" s="9" t="s">
        <v>322</v>
      </c>
      <c r="C644" s="9" t="s">
        <v>3</v>
      </c>
      <c r="D644" s="9">
        <v>3</v>
      </c>
    </row>
    <row r="645" spans="1:4" x14ac:dyDescent="0.25">
      <c r="A645" s="9">
        <v>12</v>
      </c>
      <c r="B645" s="9" t="s">
        <v>323</v>
      </c>
      <c r="C645" s="9" t="s">
        <v>3</v>
      </c>
      <c r="D645" s="9">
        <v>3</v>
      </c>
    </row>
    <row r="646" spans="1:4" x14ac:dyDescent="0.25">
      <c r="A646" s="9">
        <v>12</v>
      </c>
      <c r="B646" s="9" t="s">
        <v>324</v>
      </c>
      <c r="C646" s="9" t="s">
        <v>3</v>
      </c>
      <c r="D646" s="9">
        <v>3</v>
      </c>
    </row>
    <row r="647" spans="1:4" x14ac:dyDescent="0.25">
      <c r="A647" s="9">
        <v>12</v>
      </c>
      <c r="B647" s="9" t="s">
        <v>325</v>
      </c>
      <c r="C647" s="9" t="s">
        <v>3</v>
      </c>
      <c r="D647" s="9">
        <v>3</v>
      </c>
    </row>
    <row r="648" spans="1:4" x14ac:dyDescent="0.25">
      <c r="A648" s="9">
        <v>12</v>
      </c>
      <c r="B648" s="9" t="s">
        <v>326</v>
      </c>
      <c r="C648" s="9" t="s">
        <v>3</v>
      </c>
      <c r="D648" s="9">
        <v>3</v>
      </c>
    </row>
    <row r="649" spans="1:4" x14ac:dyDescent="0.25">
      <c r="A649" s="9">
        <v>12</v>
      </c>
      <c r="B649" s="9" t="s">
        <v>327</v>
      </c>
      <c r="C649" s="9" t="s">
        <v>3</v>
      </c>
      <c r="D649" s="9">
        <v>3</v>
      </c>
    </row>
    <row r="650" spans="1:4" x14ac:dyDescent="0.25">
      <c r="A650" s="9">
        <v>12</v>
      </c>
      <c r="B650" s="9" t="s">
        <v>328</v>
      </c>
      <c r="C650" s="9" t="s">
        <v>3</v>
      </c>
      <c r="D650" s="9">
        <v>3</v>
      </c>
    </row>
    <row r="651" spans="1:4" x14ac:dyDescent="0.25">
      <c r="A651" s="9">
        <v>12</v>
      </c>
      <c r="B651" s="9" t="s">
        <v>329</v>
      </c>
      <c r="C651" s="9" t="s">
        <v>3</v>
      </c>
      <c r="D651" s="9">
        <v>3</v>
      </c>
    </row>
    <row r="652" spans="1:4" x14ac:dyDescent="0.25">
      <c r="A652" s="9">
        <v>12</v>
      </c>
      <c r="B652" s="9" t="s">
        <v>330</v>
      </c>
      <c r="C652" s="9" t="s">
        <v>3</v>
      </c>
      <c r="D652" s="9">
        <v>3</v>
      </c>
    </row>
    <row r="653" spans="1:4" x14ac:dyDescent="0.25">
      <c r="A653" s="9">
        <v>12</v>
      </c>
      <c r="B653" s="9" t="s">
        <v>331</v>
      </c>
      <c r="C653" s="9" t="s">
        <v>3</v>
      </c>
      <c r="D653" s="9">
        <v>3</v>
      </c>
    </row>
    <row r="654" spans="1:4" x14ac:dyDescent="0.25">
      <c r="A654" s="9">
        <v>12</v>
      </c>
      <c r="B654" s="9" t="s">
        <v>332</v>
      </c>
      <c r="C654" s="9" t="s">
        <v>3</v>
      </c>
      <c r="D654" s="9">
        <v>3</v>
      </c>
    </row>
    <row r="655" spans="1:4" x14ac:dyDescent="0.25">
      <c r="A655" s="9">
        <v>12</v>
      </c>
      <c r="B655" s="9" t="s">
        <v>333</v>
      </c>
      <c r="C655" s="9" t="s">
        <v>3</v>
      </c>
      <c r="D655" s="9">
        <v>3</v>
      </c>
    </row>
    <row r="656" spans="1:4" x14ac:dyDescent="0.25">
      <c r="A656" s="9">
        <v>12</v>
      </c>
      <c r="B656" s="9" t="s">
        <v>334</v>
      </c>
      <c r="C656" s="9" t="s">
        <v>3</v>
      </c>
      <c r="D656" s="9">
        <v>3</v>
      </c>
    </row>
    <row r="657" spans="1:4" x14ac:dyDescent="0.25">
      <c r="A657" s="9">
        <v>12</v>
      </c>
      <c r="B657" s="9" t="s">
        <v>335</v>
      </c>
      <c r="C657" s="9" t="s">
        <v>3</v>
      </c>
      <c r="D657" s="9">
        <v>3</v>
      </c>
    </row>
    <row r="658" spans="1:4" x14ac:dyDescent="0.25">
      <c r="A658" s="9">
        <v>12</v>
      </c>
      <c r="B658" s="9" t="s">
        <v>336</v>
      </c>
      <c r="C658" s="9" t="s">
        <v>3</v>
      </c>
      <c r="D658" s="9">
        <v>3</v>
      </c>
    </row>
    <row r="659" spans="1:4" x14ac:dyDescent="0.25">
      <c r="A659" s="9">
        <v>12</v>
      </c>
      <c r="B659" s="9" t="s">
        <v>337</v>
      </c>
      <c r="C659" s="9" t="s">
        <v>3</v>
      </c>
      <c r="D659" s="9">
        <v>3</v>
      </c>
    </row>
    <row r="660" spans="1:4" x14ac:dyDescent="0.25">
      <c r="A660" s="9">
        <v>12</v>
      </c>
      <c r="B660" s="9" t="s">
        <v>338</v>
      </c>
      <c r="C660" s="9" t="s">
        <v>3</v>
      </c>
      <c r="D660" s="9">
        <v>3</v>
      </c>
    </row>
    <row r="661" spans="1:4" x14ac:dyDescent="0.25">
      <c r="A661" s="9">
        <v>12</v>
      </c>
      <c r="B661" s="9" t="s">
        <v>339</v>
      </c>
      <c r="C661" s="9" t="s">
        <v>3</v>
      </c>
      <c r="D661" s="9">
        <v>3</v>
      </c>
    </row>
    <row r="662" spans="1:4" x14ac:dyDescent="0.25">
      <c r="A662" s="9">
        <v>12</v>
      </c>
      <c r="B662" s="9" t="s">
        <v>340</v>
      </c>
      <c r="C662" s="9" t="s">
        <v>3</v>
      </c>
      <c r="D662" s="9">
        <v>3</v>
      </c>
    </row>
    <row r="663" spans="1:4" x14ac:dyDescent="0.25">
      <c r="A663" s="9">
        <v>12</v>
      </c>
      <c r="B663" s="9" t="s">
        <v>341</v>
      </c>
      <c r="C663" s="9" t="s">
        <v>3</v>
      </c>
      <c r="D663" s="9">
        <v>3</v>
      </c>
    </row>
    <row r="664" spans="1:4" x14ac:dyDescent="0.25">
      <c r="A664" s="9">
        <v>12</v>
      </c>
      <c r="B664" s="9" t="s">
        <v>342</v>
      </c>
      <c r="C664" s="9" t="s">
        <v>3</v>
      </c>
      <c r="D664" s="9">
        <v>3</v>
      </c>
    </row>
    <row r="665" spans="1:4" x14ac:dyDescent="0.25">
      <c r="A665" s="9">
        <v>12</v>
      </c>
      <c r="B665" s="9" t="s">
        <v>343</v>
      </c>
      <c r="C665" s="9" t="s">
        <v>3</v>
      </c>
      <c r="D665" s="9">
        <v>3</v>
      </c>
    </row>
    <row r="666" spans="1:4" x14ac:dyDescent="0.25">
      <c r="A666" s="9">
        <v>12</v>
      </c>
      <c r="B666" s="9" t="s">
        <v>344</v>
      </c>
      <c r="C666" s="9" t="s">
        <v>3</v>
      </c>
      <c r="D666" s="9">
        <v>3</v>
      </c>
    </row>
    <row r="667" spans="1:4" x14ac:dyDescent="0.25">
      <c r="A667" s="9">
        <v>12</v>
      </c>
      <c r="B667" s="9" t="s">
        <v>345</v>
      </c>
      <c r="C667" s="9" t="s">
        <v>3</v>
      </c>
      <c r="D667" s="9">
        <v>3</v>
      </c>
    </row>
    <row r="668" spans="1:4" x14ac:dyDescent="0.25">
      <c r="A668" s="9">
        <v>12</v>
      </c>
      <c r="B668" s="9" t="s">
        <v>346</v>
      </c>
      <c r="C668" s="9" t="s">
        <v>3</v>
      </c>
      <c r="D668" s="9">
        <v>3</v>
      </c>
    </row>
    <row r="669" spans="1:4" x14ac:dyDescent="0.25">
      <c r="A669" s="9">
        <v>12</v>
      </c>
      <c r="B669" s="9" t="s">
        <v>347</v>
      </c>
      <c r="C669" s="9" t="s">
        <v>3</v>
      </c>
      <c r="D669" s="9">
        <v>3</v>
      </c>
    </row>
    <row r="670" spans="1:4" x14ac:dyDescent="0.25">
      <c r="A670" s="9">
        <v>12</v>
      </c>
      <c r="B670" s="9" t="s">
        <v>348</v>
      </c>
      <c r="C670" s="9" t="s">
        <v>3</v>
      </c>
      <c r="D670" s="9">
        <v>3</v>
      </c>
    </row>
    <row r="671" spans="1:4" x14ac:dyDescent="0.25">
      <c r="A671" s="9">
        <v>12</v>
      </c>
      <c r="B671" s="9" t="s">
        <v>349</v>
      </c>
      <c r="C671" s="9" t="s">
        <v>3</v>
      </c>
      <c r="D671" s="9">
        <v>3</v>
      </c>
    </row>
    <row r="672" spans="1:4" x14ac:dyDescent="0.25">
      <c r="A672" s="9">
        <v>12</v>
      </c>
      <c r="B672" s="9" t="s">
        <v>350</v>
      </c>
      <c r="C672" s="9" t="s">
        <v>3</v>
      </c>
      <c r="D672" s="9">
        <v>3</v>
      </c>
    </row>
    <row r="673" spans="1:4" x14ac:dyDescent="0.25">
      <c r="A673" s="9">
        <v>12</v>
      </c>
      <c r="B673" s="9" t="s">
        <v>351</v>
      </c>
      <c r="C673" s="9" t="s">
        <v>3</v>
      </c>
      <c r="D673" s="9">
        <v>3</v>
      </c>
    </row>
    <row r="674" spans="1:4" x14ac:dyDescent="0.25">
      <c r="A674" s="9">
        <v>12</v>
      </c>
      <c r="B674" s="9" t="s">
        <v>352</v>
      </c>
      <c r="C674" s="9" t="s">
        <v>3</v>
      </c>
      <c r="D674" s="9">
        <v>3</v>
      </c>
    </row>
    <row r="675" spans="1:4" x14ac:dyDescent="0.25">
      <c r="A675" s="9">
        <v>12</v>
      </c>
      <c r="B675" s="9" t="s">
        <v>353</v>
      </c>
      <c r="C675" s="9" t="s">
        <v>3</v>
      </c>
      <c r="D675" s="9">
        <v>3</v>
      </c>
    </row>
    <row r="676" spans="1:4" x14ac:dyDescent="0.25">
      <c r="A676" s="9">
        <v>12</v>
      </c>
      <c r="B676" s="9" t="s">
        <v>354</v>
      </c>
      <c r="C676" s="9" t="s">
        <v>3</v>
      </c>
      <c r="D676" s="9">
        <v>3</v>
      </c>
    </row>
    <row r="677" spans="1:4" x14ac:dyDescent="0.25">
      <c r="A677" s="9">
        <v>12</v>
      </c>
      <c r="B677" s="9" t="s">
        <v>355</v>
      </c>
      <c r="C677" s="9" t="s">
        <v>3</v>
      </c>
      <c r="D677" s="9">
        <v>3</v>
      </c>
    </row>
    <row r="678" spans="1:4" x14ac:dyDescent="0.25">
      <c r="A678" s="9">
        <v>12</v>
      </c>
      <c r="B678" s="9" t="s">
        <v>356</v>
      </c>
      <c r="C678" s="9" t="s">
        <v>3</v>
      </c>
      <c r="D678" s="9">
        <v>3</v>
      </c>
    </row>
    <row r="679" spans="1:4" x14ac:dyDescent="0.25">
      <c r="A679" s="9">
        <v>12</v>
      </c>
      <c r="B679" s="9" t="s">
        <v>357</v>
      </c>
      <c r="C679" s="9" t="s">
        <v>3</v>
      </c>
      <c r="D679" s="9">
        <v>3</v>
      </c>
    </row>
    <row r="680" spans="1:4" x14ac:dyDescent="0.25">
      <c r="A680" s="9">
        <v>12</v>
      </c>
      <c r="B680" s="9" t="s">
        <v>358</v>
      </c>
      <c r="C680" s="9" t="s">
        <v>3</v>
      </c>
      <c r="D680" s="9">
        <v>3</v>
      </c>
    </row>
    <row r="681" spans="1:4" x14ac:dyDescent="0.25">
      <c r="A681" s="9">
        <v>12</v>
      </c>
      <c r="B681" s="9" t="s">
        <v>359</v>
      </c>
      <c r="C681" s="9" t="s">
        <v>3</v>
      </c>
      <c r="D681" s="9">
        <v>3</v>
      </c>
    </row>
    <row r="682" spans="1:4" x14ac:dyDescent="0.25">
      <c r="A682" s="9">
        <v>12</v>
      </c>
      <c r="B682" s="9" t="s">
        <v>360</v>
      </c>
      <c r="C682" s="9" t="s">
        <v>3</v>
      </c>
      <c r="D682" s="9">
        <v>3</v>
      </c>
    </row>
    <row r="683" spans="1:4" x14ac:dyDescent="0.25">
      <c r="A683" s="9">
        <v>12</v>
      </c>
      <c r="B683" s="9" t="s">
        <v>361</v>
      </c>
      <c r="C683" s="9" t="s">
        <v>3</v>
      </c>
      <c r="D683" s="9">
        <v>3</v>
      </c>
    </row>
    <row r="684" spans="1:4" x14ac:dyDescent="0.25">
      <c r="A684" s="9">
        <v>12</v>
      </c>
      <c r="B684" s="9" t="s">
        <v>362</v>
      </c>
      <c r="C684" s="9" t="s">
        <v>3</v>
      </c>
      <c r="D684" s="9">
        <v>3</v>
      </c>
    </row>
    <row r="685" spans="1:4" x14ac:dyDescent="0.25">
      <c r="A685" s="9">
        <v>12</v>
      </c>
      <c r="B685" s="9" t="s">
        <v>363</v>
      </c>
      <c r="C685" s="9" t="s">
        <v>3</v>
      </c>
      <c r="D685" s="9">
        <v>3</v>
      </c>
    </row>
    <row r="686" spans="1:4" x14ac:dyDescent="0.25">
      <c r="A686" s="9">
        <v>12</v>
      </c>
      <c r="B686" s="9" t="s">
        <v>364</v>
      </c>
      <c r="C686" s="9" t="s">
        <v>3</v>
      </c>
      <c r="D686" s="9">
        <v>3</v>
      </c>
    </row>
    <row r="687" spans="1:4" x14ac:dyDescent="0.25">
      <c r="A687" s="9">
        <v>12</v>
      </c>
      <c r="B687" s="9" t="s">
        <v>365</v>
      </c>
      <c r="C687" s="9" t="s">
        <v>3</v>
      </c>
      <c r="D687" s="9">
        <v>3</v>
      </c>
    </row>
    <row r="688" spans="1:4" x14ac:dyDescent="0.25">
      <c r="A688" s="9">
        <v>12</v>
      </c>
      <c r="B688" s="9" t="s">
        <v>366</v>
      </c>
      <c r="C688" s="9" t="s">
        <v>3</v>
      </c>
      <c r="D688" s="9">
        <v>3</v>
      </c>
    </row>
    <row r="689" spans="1:4" x14ac:dyDescent="0.25">
      <c r="A689" s="9">
        <v>12</v>
      </c>
      <c r="B689" s="9" t="s">
        <v>367</v>
      </c>
      <c r="C689" s="9" t="s">
        <v>3</v>
      </c>
      <c r="D689" s="9">
        <v>3</v>
      </c>
    </row>
    <row r="690" spans="1:4" x14ac:dyDescent="0.25">
      <c r="A690" s="9">
        <v>12</v>
      </c>
      <c r="B690" s="9" t="s">
        <v>368</v>
      </c>
      <c r="C690" s="9" t="s">
        <v>3</v>
      </c>
      <c r="D690" s="9">
        <v>3</v>
      </c>
    </row>
    <row r="691" spans="1:4" x14ac:dyDescent="0.25">
      <c r="A691" s="9">
        <v>12</v>
      </c>
      <c r="B691" s="9" t="s">
        <v>369</v>
      </c>
      <c r="C691" s="9" t="s">
        <v>3</v>
      </c>
      <c r="D691" s="9">
        <v>3</v>
      </c>
    </row>
    <row r="692" spans="1:4" x14ac:dyDescent="0.25">
      <c r="A692" s="9">
        <v>12</v>
      </c>
      <c r="B692" s="9" t="s">
        <v>370</v>
      </c>
      <c r="C692" s="9" t="s">
        <v>3</v>
      </c>
      <c r="D692" s="9">
        <v>3</v>
      </c>
    </row>
    <row r="693" spans="1:4" x14ac:dyDescent="0.25">
      <c r="A693" s="9">
        <v>12</v>
      </c>
      <c r="B693" s="9" t="s">
        <v>371</v>
      </c>
      <c r="C693" s="9" t="s">
        <v>3</v>
      </c>
      <c r="D693" s="9">
        <v>3</v>
      </c>
    </row>
    <row r="694" spans="1:4" x14ac:dyDescent="0.25">
      <c r="A694" s="9">
        <v>12</v>
      </c>
      <c r="B694" s="9" t="s">
        <v>372</v>
      </c>
      <c r="C694" s="9" t="s">
        <v>3</v>
      </c>
      <c r="D694" s="9">
        <v>3</v>
      </c>
    </row>
    <row r="695" spans="1:4" x14ac:dyDescent="0.25">
      <c r="A695" s="9">
        <v>12</v>
      </c>
      <c r="B695" s="9" t="s">
        <v>373</v>
      </c>
      <c r="C695" s="9" t="s">
        <v>3</v>
      </c>
      <c r="D695" s="9">
        <v>3</v>
      </c>
    </row>
    <row r="696" spans="1:4" x14ac:dyDescent="0.25">
      <c r="A696" s="9">
        <v>12</v>
      </c>
      <c r="B696" s="9" t="s">
        <v>374</v>
      </c>
      <c r="C696" s="9" t="s">
        <v>3</v>
      </c>
      <c r="D696" s="9">
        <v>3</v>
      </c>
    </row>
    <row r="697" spans="1:4" x14ac:dyDescent="0.25">
      <c r="A697" s="9">
        <v>12</v>
      </c>
      <c r="B697" s="9" t="s">
        <v>375</v>
      </c>
      <c r="C697" s="9" t="s">
        <v>3</v>
      </c>
      <c r="D697" s="9">
        <v>3</v>
      </c>
    </row>
    <row r="698" spans="1:4" x14ac:dyDescent="0.25">
      <c r="A698" s="9">
        <v>12</v>
      </c>
      <c r="B698" s="9" t="s">
        <v>376</v>
      </c>
      <c r="C698" s="9" t="s">
        <v>3</v>
      </c>
      <c r="D698" s="9">
        <v>3</v>
      </c>
    </row>
    <row r="699" spans="1:4" x14ac:dyDescent="0.25">
      <c r="A699" s="9">
        <v>12</v>
      </c>
      <c r="B699" s="9" t="s">
        <v>377</v>
      </c>
      <c r="C699" s="9" t="s">
        <v>3</v>
      </c>
      <c r="D699" s="9">
        <v>3</v>
      </c>
    </row>
    <row r="700" spans="1:4" x14ac:dyDescent="0.25">
      <c r="A700" s="9">
        <v>12</v>
      </c>
      <c r="B700" s="9" t="s">
        <v>378</v>
      </c>
      <c r="C700" s="9" t="s">
        <v>3</v>
      </c>
      <c r="D700" s="9">
        <v>3</v>
      </c>
    </row>
    <row r="701" spans="1:4" x14ac:dyDescent="0.25">
      <c r="A701" s="9">
        <v>12</v>
      </c>
      <c r="B701" s="9" t="s">
        <v>379</v>
      </c>
      <c r="C701" s="9" t="s">
        <v>3</v>
      </c>
      <c r="D701" s="9">
        <v>3</v>
      </c>
    </row>
    <row r="702" spans="1:4" x14ac:dyDescent="0.25">
      <c r="A702" s="9">
        <v>12</v>
      </c>
      <c r="B702" s="9" t="s">
        <v>380</v>
      </c>
      <c r="C702" s="9" t="s">
        <v>3</v>
      </c>
      <c r="D702" s="9">
        <v>3</v>
      </c>
    </row>
    <row r="703" spans="1:4" x14ac:dyDescent="0.25">
      <c r="A703" s="9">
        <v>12</v>
      </c>
      <c r="B703" s="9" t="s">
        <v>381</v>
      </c>
      <c r="C703" s="9" t="s">
        <v>3</v>
      </c>
      <c r="D703" s="9">
        <v>3</v>
      </c>
    </row>
    <row r="704" spans="1:4" x14ac:dyDescent="0.25">
      <c r="A704" s="9">
        <v>12</v>
      </c>
      <c r="B704" s="9" t="s">
        <v>382</v>
      </c>
      <c r="C704" s="9" t="s">
        <v>3</v>
      </c>
      <c r="D704" s="9">
        <v>3</v>
      </c>
    </row>
    <row r="705" spans="1:4" x14ac:dyDescent="0.25">
      <c r="A705" s="9">
        <v>12</v>
      </c>
      <c r="B705" s="9" t="s">
        <v>383</v>
      </c>
      <c r="C705" s="9" t="s">
        <v>3</v>
      </c>
      <c r="D705" s="9">
        <v>3</v>
      </c>
    </row>
    <row r="706" spans="1:4" x14ac:dyDescent="0.25">
      <c r="A706" s="9">
        <v>12</v>
      </c>
      <c r="B706" s="9" t="s">
        <v>384</v>
      </c>
      <c r="C706" s="9" t="s">
        <v>3</v>
      </c>
      <c r="D706" s="9">
        <v>3</v>
      </c>
    </row>
    <row r="707" spans="1:4" x14ac:dyDescent="0.25">
      <c r="A707" s="9">
        <v>12</v>
      </c>
      <c r="B707" s="9" t="s">
        <v>385</v>
      </c>
      <c r="C707" s="9" t="s">
        <v>3</v>
      </c>
      <c r="D707" s="9">
        <v>3</v>
      </c>
    </row>
    <row r="708" spans="1:4" x14ac:dyDescent="0.25">
      <c r="A708" s="9">
        <v>12</v>
      </c>
      <c r="B708" s="9" t="s">
        <v>386</v>
      </c>
      <c r="C708" s="9" t="s">
        <v>3</v>
      </c>
      <c r="D708" s="9">
        <v>3</v>
      </c>
    </row>
    <row r="709" spans="1:4" x14ac:dyDescent="0.25">
      <c r="A709" s="9">
        <v>12</v>
      </c>
      <c r="B709" s="9" t="s">
        <v>387</v>
      </c>
      <c r="C709" s="9" t="s">
        <v>3</v>
      </c>
      <c r="D709" s="9">
        <v>3</v>
      </c>
    </row>
    <row r="710" spans="1:4" x14ac:dyDescent="0.25">
      <c r="A710" s="9">
        <v>12</v>
      </c>
      <c r="B710" s="9" t="s">
        <v>388</v>
      </c>
      <c r="C710" s="9" t="s">
        <v>3</v>
      </c>
      <c r="D710" s="9">
        <v>3</v>
      </c>
    </row>
    <row r="711" spans="1:4" x14ac:dyDescent="0.25">
      <c r="A711" s="9">
        <v>12</v>
      </c>
      <c r="B711" s="9" t="s">
        <v>389</v>
      </c>
      <c r="C711" s="9" t="s">
        <v>3</v>
      </c>
      <c r="D711" s="9">
        <v>3</v>
      </c>
    </row>
    <row r="712" spans="1:4" x14ac:dyDescent="0.25">
      <c r="A712" s="9">
        <v>12</v>
      </c>
      <c r="B712" s="9" t="s">
        <v>390</v>
      </c>
      <c r="C712" s="9" t="s">
        <v>3</v>
      </c>
      <c r="D712" s="9">
        <v>3</v>
      </c>
    </row>
    <row r="713" spans="1:4" x14ac:dyDescent="0.25">
      <c r="A713" s="9">
        <v>12</v>
      </c>
      <c r="B713" s="9" t="s">
        <v>391</v>
      </c>
      <c r="C713" s="9" t="s">
        <v>3</v>
      </c>
      <c r="D713" s="9">
        <v>3</v>
      </c>
    </row>
    <row r="714" spans="1:4" x14ac:dyDescent="0.25">
      <c r="A714" s="9">
        <v>12</v>
      </c>
      <c r="B714" s="9" t="s">
        <v>392</v>
      </c>
      <c r="C714" s="9" t="s">
        <v>3</v>
      </c>
      <c r="D714" s="9">
        <v>3</v>
      </c>
    </row>
    <row r="715" spans="1:4" x14ac:dyDescent="0.25">
      <c r="A715" s="9">
        <v>12</v>
      </c>
      <c r="B715" s="9" t="s">
        <v>393</v>
      </c>
      <c r="C715" s="9" t="s">
        <v>3</v>
      </c>
      <c r="D715" s="9">
        <v>3</v>
      </c>
    </row>
    <row r="716" spans="1:4" x14ac:dyDescent="0.25">
      <c r="A716" s="9">
        <v>12</v>
      </c>
      <c r="B716" s="9" t="s">
        <v>394</v>
      </c>
      <c r="C716" s="9" t="s">
        <v>3</v>
      </c>
      <c r="D716" s="9">
        <v>3</v>
      </c>
    </row>
    <row r="717" spans="1:4" x14ac:dyDescent="0.25">
      <c r="A717" s="9">
        <v>12</v>
      </c>
      <c r="B717" s="9" t="s">
        <v>395</v>
      </c>
      <c r="C717" s="9" t="s">
        <v>3</v>
      </c>
      <c r="D717" s="9">
        <v>3</v>
      </c>
    </row>
    <row r="718" spans="1:4" x14ac:dyDescent="0.25">
      <c r="A718" s="9">
        <v>12</v>
      </c>
      <c r="B718" s="9" t="s">
        <v>396</v>
      </c>
      <c r="C718" s="9" t="s">
        <v>3</v>
      </c>
      <c r="D718" s="9">
        <v>3</v>
      </c>
    </row>
    <row r="719" spans="1:4" x14ac:dyDescent="0.25">
      <c r="A719" s="9">
        <v>12</v>
      </c>
      <c r="B719" s="9" t="s">
        <v>397</v>
      </c>
      <c r="C719" s="9" t="s">
        <v>3</v>
      </c>
      <c r="D719" s="9">
        <v>3</v>
      </c>
    </row>
    <row r="720" spans="1:4" x14ac:dyDescent="0.25">
      <c r="A720" s="9">
        <v>12</v>
      </c>
      <c r="B720" s="9" t="s">
        <v>398</v>
      </c>
      <c r="C720" s="9" t="s">
        <v>3</v>
      </c>
      <c r="D720" s="9">
        <v>3</v>
      </c>
    </row>
    <row r="721" spans="1:4" x14ac:dyDescent="0.25">
      <c r="A721" s="9">
        <v>12</v>
      </c>
      <c r="B721" s="9" t="s">
        <v>399</v>
      </c>
      <c r="C721" s="9" t="s">
        <v>3</v>
      </c>
      <c r="D721" s="9">
        <v>3</v>
      </c>
    </row>
    <row r="722" spans="1:4" x14ac:dyDescent="0.25">
      <c r="A722" s="9">
        <v>12</v>
      </c>
      <c r="B722" s="9" t="s">
        <v>400</v>
      </c>
      <c r="C722" s="9" t="s">
        <v>3</v>
      </c>
      <c r="D722" s="9">
        <v>3</v>
      </c>
    </row>
    <row r="723" spans="1:4" x14ac:dyDescent="0.25">
      <c r="A723" s="9">
        <v>12</v>
      </c>
      <c r="B723" s="9" t="s">
        <v>401</v>
      </c>
      <c r="C723" s="9" t="s">
        <v>3</v>
      </c>
      <c r="D723" s="9">
        <v>3</v>
      </c>
    </row>
    <row r="724" spans="1:4" x14ac:dyDescent="0.25">
      <c r="A724" s="9">
        <v>12</v>
      </c>
      <c r="B724" s="9" t="s">
        <v>402</v>
      </c>
      <c r="C724" s="9" t="s">
        <v>3</v>
      </c>
      <c r="D724" s="9">
        <v>3</v>
      </c>
    </row>
    <row r="725" spans="1:4" x14ac:dyDescent="0.25">
      <c r="A725" s="9">
        <v>12</v>
      </c>
      <c r="B725" s="9" t="s">
        <v>310</v>
      </c>
      <c r="C725" s="9" t="s">
        <v>3</v>
      </c>
      <c r="D725" s="9">
        <v>3</v>
      </c>
    </row>
    <row r="726" spans="1:4" x14ac:dyDescent="0.25">
      <c r="A726" s="9">
        <v>12</v>
      </c>
      <c r="B726" s="9" t="s">
        <v>403</v>
      </c>
      <c r="C726" s="9" t="s">
        <v>3</v>
      </c>
      <c r="D726" s="9">
        <v>3</v>
      </c>
    </row>
    <row r="727" spans="1:4" x14ac:dyDescent="0.25">
      <c r="A727" s="9">
        <v>12</v>
      </c>
      <c r="B727" s="9" t="s">
        <v>404</v>
      </c>
      <c r="C727" s="9" t="s">
        <v>3</v>
      </c>
      <c r="D727" s="9">
        <v>3</v>
      </c>
    </row>
    <row r="728" spans="1:4" x14ac:dyDescent="0.25">
      <c r="A728" s="9">
        <v>12</v>
      </c>
      <c r="B728" s="9" t="s">
        <v>405</v>
      </c>
      <c r="C728" s="9" t="s">
        <v>3</v>
      </c>
      <c r="D728" s="9">
        <v>3</v>
      </c>
    </row>
    <row r="729" spans="1:4" x14ac:dyDescent="0.25">
      <c r="A729" s="9">
        <v>12</v>
      </c>
      <c r="B729" s="9" t="s">
        <v>406</v>
      </c>
      <c r="C729" s="9" t="s">
        <v>3</v>
      </c>
      <c r="D729" s="9">
        <v>3</v>
      </c>
    </row>
    <row r="730" spans="1:4" x14ac:dyDescent="0.25">
      <c r="A730" s="9">
        <v>12</v>
      </c>
      <c r="B730" s="9" t="s">
        <v>407</v>
      </c>
      <c r="C730" s="9" t="s">
        <v>3</v>
      </c>
      <c r="D730" s="9">
        <v>3</v>
      </c>
    </row>
    <row r="731" spans="1:4" x14ac:dyDescent="0.25">
      <c r="A731" s="9">
        <v>12</v>
      </c>
      <c r="B731" s="9" t="s">
        <v>408</v>
      </c>
      <c r="C731" s="9" t="s">
        <v>3</v>
      </c>
      <c r="D731" s="9">
        <v>3</v>
      </c>
    </row>
    <row r="732" spans="1:4" x14ac:dyDescent="0.25">
      <c r="A732" s="9">
        <v>12</v>
      </c>
      <c r="B732" s="9" t="s">
        <v>409</v>
      </c>
      <c r="C732" s="9" t="s">
        <v>3</v>
      </c>
      <c r="D732" s="9">
        <v>3</v>
      </c>
    </row>
    <row r="733" spans="1:4" x14ac:dyDescent="0.25">
      <c r="A733" s="9">
        <v>12</v>
      </c>
      <c r="B733" s="9" t="s">
        <v>410</v>
      </c>
      <c r="C733" s="9" t="s">
        <v>3</v>
      </c>
      <c r="D733" s="9">
        <v>3</v>
      </c>
    </row>
    <row r="734" spans="1:4" x14ac:dyDescent="0.25">
      <c r="A734" s="9">
        <v>12</v>
      </c>
      <c r="B734" s="9" t="s">
        <v>411</v>
      </c>
      <c r="C734" s="9" t="s">
        <v>3</v>
      </c>
      <c r="D734" s="9">
        <v>3</v>
      </c>
    </row>
    <row r="735" spans="1:4" x14ac:dyDescent="0.25">
      <c r="A735" s="9">
        <v>12</v>
      </c>
      <c r="B735" s="9" t="s">
        <v>412</v>
      </c>
      <c r="C735" s="9" t="s">
        <v>3</v>
      </c>
      <c r="D735" s="9">
        <v>3</v>
      </c>
    </row>
    <row r="736" spans="1:4" x14ac:dyDescent="0.25">
      <c r="A736" s="9">
        <v>12</v>
      </c>
      <c r="B736" s="9" t="s">
        <v>413</v>
      </c>
      <c r="C736" s="9" t="s">
        <v>3</v>
      </c>
      <c r="D736" s="9">
        <v>3</v>
      </c>
    </row>
    <row r="737" spans="1:4" x14ac:dyDescent="0.25">
      <c r="A737" s="9">
        <v>12</v>
      </c>
      <c r="B737" s="9" t="s">
        <v>414</v>
      </c>
      <c r="C737" s="9" t="s">
        <v>3</v>
      </c>
      <c r="D737" s="9">
        <v>3</v>
      </c>
    </row>
    <row r="738" spans="1:4" x14ac:dyDescent="0.25">
      <c r="A738" s="9">
        <v>12</v>
      </c>
      <c r="B738" s="9" t="s">
        <v>415</v>
      </c>
      <c r="C738" s="9" t="s">
        <v>3</v>
      </c>
      <c r="D738" s="9">
        <v>3</v>
      </c>
    </row>
    <row r="739" spans="1:4" x14ac:dyDescent="0.25">
      <c r="A739" s="9">
        <v>12</v>
      </c>
      <c r="B739" s="9" t="s">
        <v>416</v>
      </c>
      <c r="C739" s="9" t="s">
        <v>3</v>
      </c>
      <c r="D739" s="9">
        <v>3</v>
      </c>
    </row>
    <row r="740" spans="1:4" x14ac:dyDescent="0.25">
      <c r="A740" s="9">
        <v>12</v>
      </c>
      <c r="B740" s="9" t="s">
        <v>417</v>
      </c>
      <c r="C740" s="9" t="s">
        <v>3</v>
      </c>
      <c r="D740" s="9">
        <v>3</v>
      </c>
    </row>
    <row r="741" spans="1:4" x14ac:dyDescent="0.25">
      <c r="A741" s="9">
        <v>12</v>
      </c>
      <c r="B741" s="9" t="s">
        <v>418</v>
      </c>
      <c r="C741" s="9" t="s">
        <v>3</v>
      </c>
      <c r="D741" s="9">
        <v>3</v>
      </c>
    </row>
    <row r="742" spans="1:4" x14ac:dyDescent="0.25">
      <c r="A742" s="9">
        <v>12</v>
      </c>
      <c r="B742" s="9" t="s">
        <v>419</v>
      </c>
      <c r="C742" s="9" t="s">
        <v>3</v>
      </c>
      <c r="D742" s="9">
        <v>3</v>
      </c>
    </row>
    <row r="743" spans="1:4" x14ac:dyDescent="0.25">
      <c r="A743" s="9">
        <v>12</v>
      </c>
      <c r="B743" s="9" t="s">
        <v>420</v>
      </c>
      <c r="C743" s="9" t="s">
        <v>3</v>
      </c>
      <c r="D743" s="9">
        <v>3</v>
      </c>
    </row>
    <row r="744" spans="1:4" x14ac:dyDescent="0.25">
      <c r="A744" s="9">
        <v>12</v>
      </c>
      <c r="B744" s="9" t="s">
        <v>421</v>
      </c>
      <c r="C744" s="9" t="s">
        <v>3</v>
      </c>
      <c r="D744" s="9">
        <v>3</v>
      </c>
    </row>
    <row r="745" spans="1:4" x14ac:dyDescent="0.25">
      <c r="A745" s="9">
        <v>12</v>
      </c>
      <c r="B745" s="9" t="s">
        <v>422</v>
      </c>
      <c r="C745" s="9" t="s">
        <v>3</v>
      </c>
      <c r="D745" s="9">
        <v>3</v>
      </c>
    </row>
    <row r="746" spans="1:4" x14ac:dyDescent="0.25">
      <c r="A746" s="9">
        <v>12</v>
      </c>
      <c r="B746" s="9" t="s">
        <v>423</v>
      </c>
      <c r="C746" s="9" t="s">
        <v>3</v>
      </c>
      <c r="D746" s="9">
        <v>3</v>
      </c>
    </row>
    <row r="747" spans="1:4" x14ac:dyDescent="0.25">
      <c r="A747" s="9">
        <v>12</v>
      </c>
      <c r="B747" s="9" t="s">
        <v>424</v>
      </c>
      <c r="C747" s="9" t="s">
        <v>3</v>
      </c>
      <c r="D747" s="9">
        <v>3</v>
      </c>
    </row>
    <row r="748" spans="1:4" x14ac:dyDescent="0.25">
      <c r="A748" s="9">
        <v>12</v>
      </c>
      <c r="B748" s="9" t="s">
        <v>425</v>
      </c>
      <c r="C748" s="9" t="s">
        <v>3</v>
      </c>
      <c r="D748" s="9">
        <v>3</v>
      </c>
    </row>
    <row r="749" spans="1:4" x14ac:dyDescent="0.25">
      <c r="A749" s="9">
        <v>12</v>
      </c>
      <c r="B749" s="9" t="s">
        <v>426</v>
      </c>
      <c r="C749" s="9" t="s">
        <v>3</v>
      </c>
      <c r="D749" s="9">
        <v>3</v>
      </c>
    </row>
    <row r="750" spans="1:4" x14ac:dyDescent="0.25">
      <c r="A750" s="9">
        <v>12</v>
      </c>
      <c r="B750" s="9" t="s">
        <v>427</v>
      </c>
      <c r="C750" s="9" t="s">
        <v>3</v>
      </c>
      <c r="D750" s="9">
        <v>3</v>
      </c>
    </row>
    <row r="751" spans="1:4" x14ac:dyDescent="0.25">
      <c r="A751" s="9">
        <v>12</v>
      </c>
      <c r="B751" s="9" t="s">
        <v>428</v>
      </c>
      <c r="C751" s="9" t="s">
        <v>3</v>
      </c>
      <c r="D751" s="9">
        <v>3</v>
      </c>
    </row>
    <row r="752" spans="1:4" x14ac:dyDescent="0.25">
      <c r="A752" s="9">
        <v>12</v>
      </c>
      <c r="B752" s="9" t="s">
        <v>429</v>
      </c>
      <c r="C752" s="9" t="s">
        <v>3</v>
      </c>
      <c r="D752" s="9">
        <v>3</v>
      </c>
    </row>
    <row r="753" spans="1:4" x14ac:dyDescent="0.25">
      <c r="A753" s="9">
        <v>12</v>
      </c>
      <c r="B753" s="9" t="s">
        <v>430</v>
      </c>
      <c r="C753" s="9" t="s">
        <v>3</v>
      </c>
      <c r="D753" s="9">
        <v>3</v>
      </c>
    </row>
    <row r="754" spans="1:4" x14ac:dyDescent="0.25">
      <c r="A754" s="9">
        <v>12</v>
      </c>
      <c r="B754" s="9" t="s">
        <v>431</v>
      </c>
      <c r="C754" s="9" t="s">
        <v>3</v>
      </c>
      <c r="D754" s="9">
        <v>3</v>
      </c>
    </row>
    <row r="755" spans="1:4" x14ac:dyDescent="0.25">
      <c r="A755" s="9">
        <v>12</v>
      </c>
      <c r="B755" s="9" t="s">
        <v>432</v>
      </c>
      <c r="C755" s="9" t="s">
        <v>3</v>
      </c>
      <c r="D755" s="9">
        <v>3</v>
      </c>
    </row>
    <row r="756" spans="1:4" x14ac:dyDescent="0.25">
      <c r="A756" s="9">
        <v>12</v>
      </c>
      <c r="B756" s="9" t="s">
        <v>433</v>
      </c>
      <c r="C756" s="9" t="s">
        <v>3</v>
      </c>
      <c r="D756" s="9">
        <v>3</v>
      </c>
    </row>
    <row r="757" spans="1:4" x14ac:dyDescent="0.25">
      <c r="A757" s="9">
        <v>12</v>
      </c>
      <c r="B757" s="9" t="s">
        <v>434</v>
      </c>
      <c r="C757" s="9" t="s">
        <v>3</v>
      </c>
      <c r="D757" s="9">
        <v>3</v>
      </c>
    </row>
    <row r="758" spans="1:4" x14ac:dyDescent="0.25">
      <c r="A758" s="9">
        <v>12</v>
      </c>
      <c r="B758" s="9" t="s">
        <v>435</v>
      </c>
      <c r="C758" s="9" t="s">
        <v>3</v>
      </c>
      <c r="D758" s="9">
        <v>3</v>
      </c>
    </row>
    <row r="759" spans="1:4" x14ac:dyDescent="0.25">
      <c r="A759" s="9">
        <v>12</v>
      </c>
      <c r="B759" s="9" t="s">
        <v>436</v>
      </c>
      <c r="C759" s="9" t="s">
        <v>3</v>
      </c>
      <c r="D759" s="9">
        <v>3</v>
      </c>
    </row>
    <row r="760" spans="1:4" x14ac:dyDescent="0.25">
      <c r="A760" s="9">
        <v>12</v>
      </c>
      <c r="B760" s="9" t="s">
        <v>437</v>
      </c>
      <c r="C760" s="9" t="s">
        <v>3</v>
      </c>
      <c r="D760" s="9">
        <v>3</v>
      </c>
    </row>
    <row r="761" spans="1:4" x14ac:dyDescent="0.25">
      <c r="A761" s="9">
        <v>12</v>
      </c>
      <c r="B761" s="9" t="s">
        <v>438</v>
      </c>
      <c r="C761" s="9" t="s">
        <v>3</v>
      </c>
      <c r="D761" s="9">
        <v>3</v>
      </c>
    </row>
    <row r="762" spans="1:4" x14ac:dyDescent="0.25">
      <c r="A762" s="9">
        <v>12</v>
      </c>
      <c r="B762" s="9" t="s">
        <v>439</v>
      </c>
      <c r="C762" s="9" t="s">
        <v>3</v>
      </c>
      <c r="D762" s="9">
        <v>3</v>
      </c>
    </row>
    <row r="763" spans="1:4" x14ac:dyDescent="0.25">
      <c r="A763" s="9">
        <v>12</v>
      </c>
      <c r="B763" s="9" t="s">
        <v>440</v>
      </c>
      <c r="C763" s="9" t="s">
        <v>3</v>
      </c>
      <c r="D763" s="9">
        <v>3</v>
      </c>
    </row>
    <row r="764" spans="1:4" x14ac:dyDescent="0.25">
      <c r="A764" s="9">
        <v>12</v>
      </c>
      <c r="B764" s="9" t="s">
        <v>441</v>
      </c>
      <c r="C764" s="9" t="s">
        <v>3</v>
      </c>
      <c r="D764" s="9">
        <v>3</v>
      </c>
    </row>
    <row r="765" spans="1:4" x14ac:dyDescent="0.25">
      <c r="A765" s="9">
        <v>12</v>
      </c>
      <c r="B765" s="9" t="s">
        <v>442</v>
      </c>
      <c r="C765" s="9" t="s">
        <v>3</v>
      </c>
      <c r="D765" s="9">
        <v>3</v>
      </c>
    </row>
    <row r="766" spans="1:4" x14ac:dyDescent="0.25">
      <c r="A766" s="9">
        <v>12</v>
      </c>
      <c r="B766" s="9" t="s">
        <v>443</v>
      </c>
      <c r="C766" s="9" t="s">
        <v>3</v>
      </c>
      <c r="D766" s="9">
        <v>3</v>
      </c>
    </row>
    <row r="767" spans="1:4" x14ac:dyDescent="0.25">
      <c r="A767" s="9">
        <v>12</v>
      </c>
      <c r="B767" s="9" t="s">
        <v>444</v>
      </c>
      <c r="C767" s="9" t="s">
        <v>3</v>
      </c>
      <c r="D767" s="9">
        <v>3</v>
      </c>
    </row>
    <row r="768" spans="1:4" x14ac:dyDescent="0.25">
      <c r="A768" s="9">
        <v>12</v>
      </c>
      <c r="B768" s="9" t="s">
        <v>445</v>
      </c>
      <c r="C768" s="9" t="s">
        <v>3</v>
      </c>
      <c r="D768" s="9">
        <v>3</v>
      </c>
    </row>
    <row r="769" spans="1:4" x14ac:dyDescent="0.25">
      <c r="A769" s="9">
        <v>12</v>
      </c>
      <c r="B769" s="9" t="s">
        <v>446</v>
      </c>
      <c r="C769" s="9" t="s">
        <v>3</v>
      </c>
      <c r="D769" s="9">
        <v>3</v>
      </c>
    </row>
    <row r="770" spans="1:4" x14ac:dyDescent="0.25">
      <c r="A770" s="9">
        <v>12</v>
      </c>
      <c r="B770" s="9" t="s">
        <v>447</v>
      </c>
      <c r="C770" s="9" t="s">
        <v>3</v>
      </c>
      <c r="D770" s="9">
        <v>3</v>
      </c>
    </row>
    <row r="771" spans="1:4" x14ac:dyDescent="0.25">
      <c r="A771" s="9">
        <v>12</v>
      </c>
      <c r="B771" s="9" t="s">
        <v>448</v>
      </c>
      <c r="C771" s="9" t="s">
        <v>3</v>
      </c>
      <c r="D771" s="9">
        <v>3</v>
      </c>
    </row>
    <row r="772" spans="1:4" x14ac:dyDescent="0.25">
      <c r="A772" s="9">
        <v>12</v>
      </c>
      <c r="B772" s="9" t="s">
        <v>449</v>
      </c>
      <c r="C772" s="9" t="s">
        <v>3</v>
      </c>
      <c r="D772" s="9">
        <v>3</v>
      </c>
    </row>
    <row r="773" spans="1:4" x14ac:dyDescent="0.25">
      <c r="A773" s="9">
        <v>12</v>
      </c>
      <c r="B773" s="9" t="s">
        <v>450</v>
      </c>
      <c r="C773" s="9" t="s">
        <v>3</v>
      </c>
      <c r="D773" s="9">
        <v>3</v>
      </c>
    </row>
    <row r="774" spans="1:4" x14ac:dyDescent="0.25">
      <c r="A774" s="9">
        <v>12</v>
      </c>
      <c r="B774" s="9" t="s">
        <v>451</v>
      </c>
      <c r="C774" s="9" t="s">
        <v>3</v>
      </c>
      <c r="D774" s="9">
        <v>3</v>
      </c>
    </row>
    <row r="775" spans="1:4" x14ac:dyDescent="0.25">
      <c r="A775" s="9">
        <v>12</v>
      </c>
      <c r="B775" s="9" t="s">
        <v>452</v>
      </c>
      <c r="C775" s="9" t="s">
        <v>3</v>
      </c>
      <c r="D775" s="9">
        <v>3</v>
      </c>
    </row>
    <row r="776" spans="1:4" x14ac:dyDescent="0.25">
      <c r="A776" s="9">
        <v>12</v>
      </c>
      <c r="B776" s="9" t="s">
        <v>453</v>
      </c>
      <c r="C776" s="9" t="s">
        <v>3</v>
      </c>
      <c r="D776" s="9">
        <v>3</v>
      </c>
    </row>
    <row r="777" spans="1:4" x14ac:dyDescent="0.25">
      <c r="A777" s="9">
        <v>12</v>
      </c>
      <c r="B777" s="9" t="s">
        <v>454</v>
      </c>
      <c r="C777" s="9" t="s">
        <v>3</v>
      </c>
      <c r="D777" s="9">
        <v>3</v>
      </c>
    </row>
    <row r="778" spans="1:4" x14ac:dyDescent="0.25">
      <c r="A778" s="9">
        <v>12</v>
      </c>
      <c r="B778" s="9" t="s">
        <v>455</v>
      </c>
      <c r="C778" s="9" t="s">
        <v>3</v>
      </c>
      <c r="D778" s="9">
        <v>3</v>
      </c>
    </row>
    <row r="779" spans="1:4" x14ac:dyDescent="0.25">
      <c r="A779" s="9">
        <v>12</v>
      </c>
      <c r="B779" s="9" t="s">
        <v>456</v>
      </c>
      <c r="C779" s="9" t="s">
        <v>3</v>
      </c>
      <c r="D779" s="9">
        <v>3</v>
      </c>
    </row>
    <row r="780" spans="1:4" x14ac:dyDescent="0.25">
      <c r="A780" s="9">
        <v>12</v>
      </c>
      <c r="B780" s="9" t="s">
        <v>457</v>
      </c>
      <c r="C780" s="9" t="s">
        <v>3</v>
      </c>
      <c r="D780" s="9">
        <v>3</v>
      </c>
    </row>
    <row r="781" spans="1:4" x14ac:dyDescent="0.25">
      <c r="A781" s="9">
        <v>12</v>
      </c>
      <c r="B781" s="9" t="s">
        <v>458</v>
      </c>
      <c r="C781" s="9" t="s">
        <v>3</v>
      </c>
      <c r="D781" s="9">
        <v>3</v>
      </c>
    </row>
    <row r="782" spans="1:4" x14ac:dyDescent="0.25">
      <c r="A782" s="9">
        <v>12</v>
      </c>
      <c r="B782" s="9" t="s">
        <v>459</v>
      </c>
      <c r="C782" s="9" t="s">
        <v>3</v>
      </c>
      <c r="D782" s="9">
        <v>3</v>
      </c>
    </row>
    <row r="783" spans="1:4" x14ac:dyDescent="0.25">
      <c r="A783" s="9">
        <v>12</v>
      </c>
      <c r="B783" s="9" t="s">
        <v>460</v>
      </c>
      <c r="C783" s="9" t="s">
        <v>3</v>
      </c>
      <c r="D783" s="9">
        <v>3</v>
      </c>
    </row>
    <row r="784" spans="1:4" x14ac:dyDescent="0.25">
      <c r="A784" s="9">
        <v>12</v>
      </c>
      <c r="B784" s="9" t="s">
        <v>461</v>
      </c>
      <c r="C784" s="9" t="s">
        <v>3</v>
      </c>
      <c r="D784" s="9">
        <v>3</v>
      </c>
    </row>
    <row r="785" spans="1:4" x14ac:dyDescent="0.25">
      <c r="A785" s="9">
        <v>12</v>
      </c>
      <c r="B785" s="9" t="s">
        <v>462</v>
      </c>
      <c r="C785" s="9" t="s">
        <v>3</v>
      </c>
      <c r="D785" s="9">
        <v>3</v>
      </c>
    </row>
    <row r="786" spans="1:4" x14ac:dyDescent="0.25">
      <c r="A786" s="9">
        <v>12</v>
      </c>
      <c r="B786" s="9" t="s">
        <v>463</v>
      </c>
      <c r="C786" s="9" t="s">
        <v>3</v>
      </c>
      <c r="D786" s="9">
        <v>3</v>
      </c>
    </row>
    <row r="787" spans="1:4" x14ac:dyDescent="0.25">
      <c r="A787" s="9">
        <v>12</v>
      </c>
      <c r="B787" s="9" t="s">
        <v>464</v>
      </c>
      <c r="C787" s="9" t="s">
        <v>3</v>
      </c>
      <c r="D787" s="9">
        <v>3</v>
      </c>
    </row>
    <row r="788" spans="1:4" x14ac:dyDescent="0.25">
      <c r="A788" s="9">
        <v>12</v>
      </c>
      <c r="B788" s="9" t="s">
        <v>465</v>
      </c>
      <c r="C788" s="9" t="s">
        <v>3</v>
      </c>
      <c r="D788" s="9">
        <v>3</v>
      </c>
    </row>
    <row r="789" spans="1:4" x14ac:dyDescent="0.25">
      <c r="A789" s="9">
        <v>12</v>
      </c>
      <c r="B789" s="9" t="s">
        <v>466</v>
      </c>
      <c r="C789" s="9" t="s">
        <v>3</v>
      </c>
      <c r="D789" s="9">
        <v>3</v>
      </c>
    </row>
    <row r="790" spans="1:4" x14ac:dyDescent="0.25">
      <c r="A790" s="9">
        <v>12</v>
      </c>
      <c r="B790" s="9" t="s">
        <v>467</v>
      </c>
      <c r="C790" s="9" t="s">
        <v>3</v>
      </c>
      <c r="D790" s="9">
        <v>3</v>
      </c>
    </row>
    <row r="791" spans="1:4" x14ac:dyDescent="0.25">
      <c r="A791" s="9">
        <v>12</v>
      </c>
      <c r="B791" s="9" t="s">
        <v>468</v>
      </c>
      <c r="C791" s="9" t="s">
        <v>3</v>
      </c>
      <c r="D791" s="9">
        <v>3</v>
      </c>
    </row>
    <row r="792" spans="1:4" x14ac:dyDescent="0.25">
      <c r="A792" s="9">
        <v>12</v>
      </c>
      <c r="B792" s="9" t="s">
        <v>469</v>
      </c>
      <c r="C792" s="9" t="s">
        <v>3</v>
      </c>
      <c r="D792" s="9">
        <v>3</v>
      </c>
    </row>
    <row r="793" spans="1:4" x14ac:dyDescent="0.25">
      <c r="A793" s="9">
        <v>12</v>
      </c>
      <c r="B793" s="9" t="s">
        <v>470</v>
      </c>
      <c r="C793" s="9" t="s">
        <v>3</v>
      </c>
      <c r="D793" s="9">
        <v>3</v>
      </c>
    </row>
    <row r="794" spans="1:4" x14ac:dyDescent="0.25">
      <c r="A794" s="9">
        <v>12</v>
      </c>
      <c r="B794" s="9" t="s">
        <v>471</v>
      </c>
      <c r="C794" s="9" t="s">
        <v>3</v>
      </c>
      <c r="D794" s="9">
        <v>3</v>
      </c>
    </row>
    <row r="795" spans="1:4" x14ac:dyDescent="0.25">
      <c r="A795" s="9">
        <v>12</v>
      </c>
      <c r="B795" s="9" t="s">
        <v>472</v>
      </c>
      <c r="C795" s="9" t="s">
        <v>3</v>
      </c>
      <c r="D795" s="9">
        <v>3</v>
      </c>
    </row>
    <row r="796" spans="1:4" x14ac:dyDescent="0.25">
      <c r="A796" s="9">
        <v>12</v>
      </c>
      <c r="B796" s="9" t="s">
        <v>473</v>
      </c>
      <c r="C796" s="9" t="s">
        <v>3</v>
      </c>
      <c r="D796" s="9">
        <v>3</v>
      </c>
    </row>
    <row r="797" spans="1:4" x14ac:dyDescent="0.25">
      <c r="A797" s="9">
        <v>12</v>
      </c>
      <c r="B797" s="9" t="s">
        <v>474</v>
      </c>
      <c r="C797" s="9" t="s">
        <v>3</v>
      </c>
      <c r="D797" s="9">
        <v>3</v>
      </c>
    </row>
    <row r="798" spans="1:4" x14ac:dyDescent="0.25">
      <c r="A798" s="9">
        <v>12</v>
      </c>
      <c r="B798" s="9" t="s">
        <v>475</v>
      </c>
      <c r="C798" s="9" t="s">
        <v>3</v>
      </c>
      <c r="D798" s="9">
        <v>3</v>
      </c>
    </row>
    <row r="799" spans="1:4" x14ac:dyDescent="0.25">
      <c r="A799" s="9">
        <v>12</v>
      </c>
      <c r="B799" s="9" t="s">
        <v>476</v>
      </c>
      <c r="C799" s="9" t="s">
        <v>3</v>
      </c>
      <c r="D799" s="9">
        <v>3</v>
      </c>
    </row>
    <row r="800" spans="1:4" x14ac:dyDescent="0.25">
      <c r="A800" s="9">
        <v>12</v>
      </c>
      <c r="B800" s="9" t="s">
        <v>477</v>
      </c>
      <c r="C800" s="9" t="s">
        <v>3</v>
      </c>
      <c r="D800" s="9">
        <v>3</v>
      </c>
    </row>
    <row r="801" spans="1:4" x14ac:dyDescent="0.25">
      <c r="A801" s="9">
        <v>12</v>
      </c>
      <c r="B801" s="9" t="s">
        <v>478</v>
      </c>
      <c r="C801" s="9" t="s">
        <v>3</v>
      </c>
      <c r="D801" s="9">
        <v>3</v>
      </c>
    </row>
    <row r="802" spans="1:4" x14ac:dyDescent="0.25">
      <c r="A802" s="9">
        <v>12</v>
      </c>
      <c r="B802" s="9" t="s">
        <v>479</v>
      </c>
      <c r="C802" s="9" t="s">
        <v>3</v>
      </c>
      <c r="D802" s="9">
        <v>3</v>
      </c>
    </row>
    <row r="803" spans="1:4" x14ac:dyDescent="0.25">
      <c r="A803" s="9">
        <v>12</v>
      </c>
      <c r="B803" s="9" t="s">
        <v>480</v>
      </c>
      <c r="C803" s="9" t="s">
        <v>3</v>
      </c>
      <c r="D803" s="9">
        <v>3</v>
      </c>
    </row>
    <row r="804" spans="1:4" x14ac:dyDescent="0.25">
      <c r="A804" s="9">
        <v>12</v>
      </c>
      <c r="B804" s="9" t="s">
        <v>481</v>
      </c>
      <c r="C804" s="9" t="s">
        <v>3</v>
      </c>
      <c r="D804" s="9">
        <v>3</v>
      </c>
    </row>
    <row r="805" spans="1:4" x14ac:dyDescent="0.25">
      <c r="A805" s="9">
        <v>12</v>
      </c>
      <c r="B805" s="9" t="s">
        <v>482</v>
      </c>
      <c r="C805" s="9" t="s">
        <v>3</v>
      </c>
      <c r="D805" s="9">
        <v>3</v>
      </c>
    </row>
    <row r="806" spans="1:4" x14ac:dyDescent="0.25">
      <c r="A806" s="9">
        <v>12</v>
      </c>
      <c r="B806" s="9" t="s">
        <v>483</v>
      </c>
      <c r="C806" s="9" t="s">
        <v>3</v>
      </c>
      <c r="D806" s="9">
        <v>3</v>
      </c>
    </row>
    <row r="807" spans="1:4" x14ac:dyDescent="0.25">
      <c r="A807" s="9">
        <v>12</v>
      </c>
      <c r="B807" s="9" t="s">
        <v>484</v>
      </c>
      <c r="C807" s="9" t="s">
        <v>3</v>
      </c>
      <c r="D807" s="9">
        <v>3</v>
      </c>
    </row>
    <row r="808" spans="1:4" x14ac:dyDescent="0.25">
      <c r="A808" s="9">
        <v>12</v>
      </c>
      <c r="B808" s="9" t="s">
        <v>485</v>
      </c>
      <c r="C808" s="9" t="s">
        <v>3</v>
      </c>
      <c r="D808" s="9">
        <v>3</v>
      </c>
    </row>
    <row r="809" spans="1:4" x14ac:dyDescent="0.25">
      <c r="A809" s="9">
        <v>12</v>
      </c>
      <c r="B809" s="9" t="s">
        <v>486</v>
      </c>
      <c r="C809" s="9" t="s">
        <v>3</v>
      </c>
      <c r="D809" s="9">
        <v>3</v>
      </c>
    </row>
    <row r="810" spans="1:4" x14ac:dyDescent="0.25">
      <c r="A810" s="9">
        <v>12</v>
      </c>
      <c r="B810" s="9" t="s">
        <v>487</v>
      </c>
      <c r="C810" s="9" t="s">
        <v>3</v>
      </c>
      <c r="D810" s="9">
        <v>3</v>
      </c>
    </row>
    <row r="811" spans="1:4" x14ac:dyDescent="0.25">
      <c r="A811" s="9">
        <v>12</v>
      </c>
      <c r="B811" s="9" t="s">
        <v>488</v>
      </c>
      <c r="C811" s="9" t="s">
        <v>3</v>
      </c>
      <c r="D811" s="9">
        <v>3</v>
      </c>
    </row>
    <row r="812" spans="1:4" x14ac:dyDescent="0.25">
      <c r="A812" s="9">
        <v>12</v>
      </c>
      <c r="B812" s="9" t="s">
        <v>489</v>
      </c>
      <c r="C812" s="9" t="s">
        <v>3</v>
      </c>
      <c r="D812" s="9">
        <v>3</v>
      </c>
    </row>
    <row r="813" spans="1:4" x14ac:dyDescent="0.25">
      <c r="A813" s="9">
        <v>12</v>
      </c>
      <c r="B813" s="9" t="s">
        <v>490</v>
      </c>
      <c r="C813" s="9" t="s">
        <v>3</v>
      </c>
      <c r="D813" s="9">
        <v>3</v>
      </c>
    </row>
    <row r="814" spans="1:4" x14ac:dyDescent="0.25">
      <c r="A814" s="9">
        <v>12</v>
      </c>
      <c r="B814" s="9" t="s">
        <v>329</v>
      </c>
      <c r="C814" s="9" t="s">
        <v>3</v>
      </c>
      <c r="D814" s="9">
        <v>3</v>
      </c>
    </row>
    <row r="815" spans="1:4" x14ac:dyDescent="0.25">
      <c r="A815" s="9">
        <v>12</v>
      </c>
      <c r="B815" s="9" t="s">
        <v>491</v>
      </c>
      <c r="C815" s="9" t="s">
        <v>3</v>
      </c>
      <c r="D815" s="9">
        <v>3</v>
      </c>
    </row>
    <row r="816" spans="1:4" x14ac:dyDescent="0.25">
      <c r="A816" s="9">
        <v>12</v>
      </c>
      <c r="B816" s="9" t="s">
        <v>492</v>
      </c>
      <c r="C816" s="9" t="s">
        <v>3</v>
      </c>
      <c r="D816" s="9">
        <v>3</v>
      </c>
    </row>
    <row r="817" spans="1:4" x14ac:dyDescent="0.25">
      <c r="A817" s="9">
        <v>12</v>
      </c>
      <c r="B817" s="9" t="s">
        <v>493</v>
      </c>
      <c r="C817" s="9" t="s">
        <v>3</v>
      </c>
      <c r="D817" s="9">
        <v>3</v>
      </c>
    </row>
    <row r="818" spans="1:4" x14ac:dyDescent="0.25">
      <c r="A818" s="9">
        <v>12</v>
      </c>
      <c r="B818" s="9" t="s">
        <v>494</v>
      </c>
      <c r="C818" s="9" t="s">
        <v>3</v>
      </c>
      <c r="D818" s="9">
        <v>3</v>
      </c>
    </row>
    <row r="819" spans="1:4" x14ac:dyDescent="0.25">
      <c r="A819" s="9">
        <v>12</v>
      </c>
      <c r="B819" s="9" t="s">
        <v>495</v>
      </c>
      <c r="C819" s="9" t="s">
        <v>3</v>
      </c>
      <c r="D819" s="9">
        <v>3</v>
      </c>
    </row>
    <row r="820" spans="1:4" x14ac:dyDescent="0.25">
      <c r="A820" s="9">
        <v>12</v>
      </c>
      <c r="B820" s="9" t="s">
        <v>496</v>
      </c>
      <c r="C820" s="9" t="s">
        <v>3</v>
      </c>
      <c r="D820" s="9">
        <v>3</v>
      </c>
    </row>
    <row r="821" spans="1:4" x14ac:dyDescent="0.25">
      <c r="A821" s="9">
        <v>12</v>
      </c>
      <c r="B821" s="9" t="s">
        <v>497</v>
      </c>
      <c r="C821" s="9" t="s">
        <v>3</v>
      </c>
      <c r="D821" s="9">
        <v>3</v>
      </c>
    </row>
    <row r="822" spans="1:4" x14ac:dyDescent="0.25">
      <c r="A822" s="9">
        <v>12</v>
      </c>
      <c r="B822" s="9" t="s">
        <v>498</v>
      </c>
      <c r="C822" s="9" t="s">
        <v>3</v>
      </c>
      <c r="D822" s="9">
        <v>3</v>
      </c>
    </row>
    <row r="823" spans="1:4" x14ac:dyDescent="0.25">
      <c r="A823" s="9">
        <v>12</v>
      </c>
      <c r="B823" s="9" t="s">
        <v>499</v>
      </c>
      <c r="C823" s="9" t="s">
        <v>3</v>
      </c>
      <c r="D823" s="9">
        <v>3</v>
      </c>
    </row>
    <row r="824" spans="1:4" x14ac:dyDescent="0.25">
      <c r="A824" s="9">
        <v>12</v>
      </c>
      <c r="B824" s="9" t="s">
        <v>500</v>
      </c>
      <c r="C824" s="9" t="s">
        <v>3</v>
      </c>
      <c r="D824" s="9">
        <v>3</v>
      </c>
    </row>
    <row r="825" spans="1:4" x14ac:dyDescent="0.25">
      <c r="A825" s="9">
        <v>12</v>
      </c>
      <c r="B825" s="9" t="s">
        <v>501</v>
      </c>
      <c r="C825" s="9" t="s">
        <v>3</v>
      </c>
      <c r="D825" s="9">
        <v>3</v>
      </c>
    </row>
    <row r="826" spans="1:4" x14ac:dyDescent="0.25">
      <c r="A826" s="9">
        <v>12</v>
      </c>
      <c r="B826" s="9" t="s">
        <v>502</v>
      </c>
      <c r="C826" s="9" t="s">
        <v>3</v>
      </c>
      <c r="D826" s="9">
        <v>3</v>
      </c>
    </row>
    <row r="827" spans="1:4" x14ac:dyDescent="0.25">
      <c r="A827" s="9">
        <v>12</v>
      </c>
      <c r="B827" s="9" t="s">
        <v>503</v>
      </c>
      <c r="C827" s="9" t="s">
        <v>3</v>
      </c>
      <c r="D827" s="9">
        <v>3</v>
      </c>
    </row>
    <row r="828" spans="1:4" x14ac:dyDescent="0.25">
      <c r="A828" s="9">
        <v>12</v>
      </c>
      <c r="B828" s="9" t="s">
        <v>504</v>
      </c>
      <c r="C828" s="9" t="s">
        <v>3</v>
      </c>
      <c r="D828" s="9">
        <v>3</v>
      </c>
    </row>
    <row r="829" spans="1:4" x14ac:dyDescent="0.25">
      <c r="A829" s="9">
        <v>12</v>
      </c>
      <c r="B829" s="9" t="s">
        <v>505</v>
      </c>
      <c r="C829" s="9" t="s">
        <v>3</v>
      </c>
      <c r="D829" s="9">
        <v>3</v>
      </c>
    </row>
    <row r="830" spans="1:4" x14ac:dyDescent="0.25">
      <c r="A830" s="9">
        <v>12</v>
      </c>
      <c r="B830" s="9" t="s">
        <v>506</v>
      </c>
      <c r="C830" s="9" t="s">
        <v>3</v>
      </c>
      <c r="D830" s="9">
        <v>3</v>
      </c>
    </row>
    <row r="831" spans="1:4" x14ac:dyDescent="0.25">
      <c r="A831" s="9">
        <v>12</v>
      </c>
      <c r="B831" s="9" t="s">
        <v>507</v>
      </c>
      <c r="C831" s="9" t="s">
        <v>3</v>
      </c>
      <c r="D831" s="9">
        <v>3</v>
      </c>
    </row>
    <row r="832" spans="1:4" x14ac:dyDescent="0.25">
      <c r="A832" s="9">
        <v>12</v>
      </c>
      <c r="B832" s="9" t="s">
        <v>508</v>
      </c>
      <c r="C832" s="9" t="s">
        <v>3</v>
      </c>
      <c r="D832" s="9">
        <v>3</v>
      </c>
    </row>
    <row r="833" spans="1:4" x14ac:dyDescent="0.25">
      <c r="A833" s="9">
        <v>12</v>
      </c>
      <c r="B833" s="9" t="s">
        <v>509</v>
      </c>
      <c r="C833" s="9" t="s">
        <v>3</v>
      </c>
      <c r="D833" s="9">
        <v>3</v>
      </c>
    </row>
    <row r="834" spans="1:4" x14ac:dyDescent="0.25">
      <c r="A834" s="9">
        <v>12</v>
      </c>
      <c r="B834" s="9" t="s">
        <v>510</v>
      </c>
      <c r="C834" s="9" t="s">
        <v>3</v>
      </c>
      <c r="D834" s="9">
        <v>3</v>
      </c>
    </row>
    <row r="835" spans="1:4" x14ac:dyDescent="0.25">
      <c r="A835" s="9">
        <v>12</v>
      </c>
      <c r="B835" s="9" t="s">
        <v>511</v>
      </c>
      <c r="C835" s="9" t="s">
        <v>3</v>
      </c>
      <c r="D835" s="9">
        <v>3</v>
      </c>
    </row>
    <row r="836" spans="1:4" x14ac:dyDescent="0.25">
      <c r="A836" s="9">
        <v>12</v>
      </c>
      <c r="B836" s="9" t="s">
        <v>512</v>
      </c>
      <c r="C836" s="9" t="s">
        <v>3</v>
      </c>
      <c r="D836" s="9">
        <v>3</v>
      </c>
    </row>
    <row r="837" spans="1:4" x14ac:dyDescent="0.25">
      <c r="A837" s="9">
        <v>12</v>
      </c>
      <c r="B837" s="9" t="s">
        <v>513</v>
      </c>
      <c r="C837" s="9" t="s">
        <v>3</v>
      </c>
      <c r="D837" s="9">
        <v>3</v>
      </c>
    </row>
    <row r="838" spans="1:4" x14ac:dyDescent="0.25">
      <c r="A838" s="9">
        <v>12</v>
      </c>
      <c r="B838" s="9" t="s">
        <v>514</v>
      </c>
      <c r="C838" s="9" t="s">
        <v>3</v>
      </c>
      <c r="D838" s="9">
        <v>3</v>
      </c>
    </row>
    <row r="839" spans="1:4" x14ac:dyDescent="0.25">
      <c r="A839" s="9">
        <v>12</v>
      </c>
      <c r="B839" s="9" t="s">
        <v>515</v>
      </c>
      <c r="C839" s="9" t="s">
        <v>3</v>
      </c>
      <c r="D839" s="9">
        <v>3</v>
      </c>
    </row>
    <row r="840" spans="1:4" x14ac:dyDescent="0.25">
      <c r="A840" s="9">
        <v>12</v>
      </c>
      <c r="B840" s="9" t="s">
        <v>516</v>
      </c>
      <c r="C840" s="9" t="s">
        <v>3</v>
      </c>
      <c r="D840" s="9">
        <v>3</v>
      </c>
    </row>
    <row r="841" spans="1:4" x14ac:dyDescent="0.25">
      <c r="A841" s="9">
        <v>12</v>
      </c>
      <c r="B841" s="9" t="s">
        <v>517</v>
      </c>
      <c r="C841" s="9" t="s">
        <v>3</v>
      </c>
      <c r="D841" s="9">
        <v>3</v>
      </c>
    </row>
    <row r="842" spans="1:4" x14ac:dyDescent="0.25">
      <c r="A842" s="9">
        <v>12</v>
      </c>
      <c r="B842" s="9" t="s">
        <v>518</v>
      </c>
      <c r="C842" s="9" t="s">
        <v>3</v>
      </c>
      <c r="D842" s="9">
        <v>3</v>
      </c>
    </row>
    <row r="843" spans="1:4" x14ac:dyDescent="0.25">
      <c r="A843" s="9">
        <v>12</v>
      </c>
      <c r="B843" s="9" t="s">
        <v>519</v>
      </c>
      <c r="C843" s="9" t="s">
        <v>3</v>
      </c>
      <c r="D843" s="9">
        <v>3</v>
      </c>
    </row>
    <row r="844" spans="1:4" x14ac:dyDescent="0.25">
      <c r="A844" s="9">
        <v>12</v>
      </c>
      <c r="B844" s="9" t="s">
        <v>520</v>
      </c>
      <c r="C844" s="9" t="s">
        <v>3</v>
      </c>
      <c r="D844" s="9">
        <v>3</v>
      </c>
    </row>
    <row r="845" spans="1:4" x14ac:dyDescent="0.25">
      <c r="A845" s="9">
        <v>12</v>
      </c>
      <c r="B845" s="9" t="s">
        <v>521</v>
      </c>
      <c r="C845" s="9" t="s">
        <v>3</v>
      </c>
      <c r="D845" s="9">
        <v>3</v>
      </c>
    </row>
    <row r="846" spans="1:4" x14ac:dyDescent="0.25">
      <c r="A846" s="9">
        <v>12</v>
      </c>
      <c r="B846" s="9" t="s">
        <v>522</v>
      </c>
      <c r="C846" s="9" t="s">
        <v>3</v>
      </c>
      <c r="D846" s="9">
        <v>3</v>
      </c>
    </row>
    <row r="847" spans="1:4" x14ac:dyDescent="0.25">
      <c r="A847" s="9">
        <v>12</v>
      </c>
      <c r="B847" s="9" t="s">
        <v>523</v>
      </c>
      <c r="C847" s="9" t="s">
        <v>3</v>
      </c>
      <c r="D847" s="9">
        <v>3</v>
      </c>
    </row>
    <row r="848" spans="1:4" x14ac:dyDescent="0.25">
      <c r="A848" s="9">
        <v>12</v>
      </c>
      <c r="B848" s="9" t="s">
        <v>524</v>
      </c>
      <c r="C848" s="9" t="s">
        <v>3</v>
      </c>
      <c r="D848" s="9">
        <v>3</v>
      </c>
    </row>
    <row r="849" spans="1:4" x14ac:dyDescent="0.25">
      <c r="A849" s="9">
        <v>12</v>
      </c>
      <c r="B849" s="9" t="s">
        <v>525</v>
      </c>
      <c r="C849" s="9" t="s">
        <v>3</v>
      </c>
      <c r="D849" s="9">
        <v>3</v>
      </c>
    </row>
    <row r="850" spans="1:4" x14ac:dyDescent="0.25">
      <c r="A850" s="9">
        <v>12</v>
      </c>
      <c r="B850" s="9" t="s">
        <v>526</v>
      </c>
      <c r="C850" s="9" t="s">
        <v>3</v>
      </c>
      <c r="D850" s="9">
        <v>3</v>
      </c>
    </row>
    <row r="851" spans="1:4" x14ac:dyDescent="0.25">
      <c r="A851" s="9">
        <v>12</v>
      </c>
      <c r="B851" s="9" t="s">
        <v>527</v>
      </c>
      <c r="C851" s="9" t="s">
        <v>3</v>
      </c>
      <c r="D851" s="9">
        <v>3</v>
      </c>
    </row>
    <row r="852" spans="1:4" x14ac:dyDescent="0.25">
      <c r="A852" s="9">
        <v>12</v>
      </c>
      <c r="B852" s="9" t="s">
        <v>528</v>
      </c>
      <c r="C852" s="9" t="s">
        <v>3</v>
      </c>
      <c r="D852" s="9">
        <v>3</v>
      </c>
    </row>
    <row r="853" spans="1:4" x14ac:dyDescent="0.25">
      <c r="A853" s="9">
        <v>12</v>
      </c>
      <c r="B853" s="9" t="s">
        <v>529</v>
      </c>
      <c r="C853" s="9" t="s">
        <v>3</v>
      </c>
      <c r="D853" s="9">
        <v>3</v>
      </c>
    </row>
    <row r="854" spans="1:4" x14ac:dyDescent="0.25">
      <c r="A854" s="9">
        <v>12</v>
      </c>
      <c r="B854" s="9" t="s">
        <v>530</v>
      </c>
      <c r="C854" s="9" t="s">
        <v>3</v>
      </c>
      <c r="D854" s="9">
        <v>3</v>
      </c>
    </row>
    <row r="855" spans="1:4" x14ac:dyDescent="0.25">
      <c r="A855" s="9">
        <v>12</v>
      </c>
      <c r="B855" s="9" t="s">
        <v>531</v>
      </c>
      <c r="C855" s="9" t="s">
        <v>3</v>
      </c>
      <c r="D855" s="9">
        <v>3</v>
      </c>
    </row>
    <row r="856" spans="1:4" x14ac:dyDescent="0.25">
      <c r="A856" s="9">
        <v>12</v>
      </c>
      <c r="B856" s="9" t="s">
        <v>532</v>
      </c>
      <c r="C856" s="9" t="s">
        <v>3</v>
      </c>
      <c r="D856" s="9">
        <v>3</v>
      </c>
    </row>
    <row r="857" spans="1:4" x14ac:dyDescent="0.25">
      <c r="A857" s="9">
        <v>12</v>
      </c>
      <c r="B857" s="9" t="s">
        <v>533</v>
      </c>
      <c r="C857" s="9" t="s">
        <v>3</v>
      </c>
      <c r="D857" s="9">
        <v>3</v>
      </c>
    </row>
    <row r="858" spans="1:4" x14ac:dyDescent="0.25">
      <c r="A858" s="9">
        <v>12</v>
      </c>
      <c r="B858" s="9" t="s">
        <v>534</v>
      </c>
      <c r="C858" s="9" t="s">
        <v>3</v>
      </c>
      <c r="D858" s="9">
        <v>3</v>
      </c>
    </row>
    <row r="859" spans="1:4" x14ac:dyDescent="0.25">
      <c r="A859" s="9">
        <v>12</v>
      </c>
      <c r="B859" s="9" t="s">
        <v>535</v>
      </c>
      <c r="C859" s="9" t="s">
        <v>3</v>
      </c>
      <c r="D859" s="9">
        <v>3</v>
      </c>
    </row>
    <row r="860" spans="1:4" x14ac:dyDescent="0.25">
      <c r="A860" s="9">
        <v>12</v>
      </c>
      <c r="B860" s="9" t="s">
        <v>536</v>
      </c>
      <c r="C860" s="9" t="s">
        <v>3</v>
      </c>
      <c r="D860" s="9">
        <v>3</v>
      </c>
    </row>
    <row r="861" spans="1:4" x14ac:dyDescent="0.25">
      <c r="A861" s="9">
        <v>12</v>
      </c>
      <c r="B861" s="9" t="s">
        <v>537</v>
      </c>
      <c r="C861" s="9" t="s">
        <v>3</v>
      </c>
      <c r="D861" s="9">
        <v>3</v>
      </c>
    </row>
    <row r="862" spans="1:4" x14ac:dyDescent="0.25">
      <c r="A862" s="9">
        <v>12</v>
      </c>
      <c r="B862" s="9" t="s">
        <v>538</v>
      </c>
      <c r="C862" s="9" t="s">
        <v>3</v>
      </c>
      <c r="D862" s="9">
        <v>3</v>
      </c>
    </row>
    <row r="863" spans="1:4" x14ac:dyDescent="0.25">
      <c r="A863" s="9">
        <v>12</v>
      </c>
      <c r="B863" s="9" t="s">
        <v>539</v>
      </c>
      <c r="C863" s="9" t="s">
        <v>3</v>
      </c>
      <c r="D863" s="9">
        <v>3</v>
      </c>
    </row>
    <row r="864" spans="1:4" x14ac:dyDescent="0.25">
      <c r="A864" s="9">
        <v>12</v>
      </c>
      <c r="B864" s="9" t="s">
        <v>540</v>
      </c>
      <c r="C864" s="9" t="s">
        <v>3</v>
      </c>
      <c r="D864" s="9">
        <v>3</v>
      </c>
    </row>
    <row r="865" spans="1:4" x14ac:dyDescent="0.25">
      <c r="A865" s="9">
        <v>12</v>
      </c>
      <c r="B865" s="9" t="s">
        <v>541</v>
      </c>
      <c r="C865" s="9" t="s">
        <v>3</v>
      </c>
      <c r="D865" s="9">
        <v>3</v>
      </c>
    </row>
    <row r="866" spans="1:4" x14ac:dyDescent="0.25">
      <c r="A866" s="9">
        <v>12</v>
      </c>
      <c r="B866" s="9" t="s">
        <v>542</v>
      </c>
      <c r="C866" s="9" t="s">
        <v>3</v>
      </c>
      <c r="D866" s="9">
        <v>3</v>
      </c>
    </row>
    <row r="867" spans="1:4" x14ac:dyDescent="0.25">
      <c r="A867" s="9">
        <v>12</v>
      </c>
      <c r="B867" s="9" t="s">
        <v>543</v>
      </c>
      <c r="C867" s="9" t="s">
        <v>3</v>
      </c>
      <c r="D867" s="9">
        <v>3</v>
      </c>
    </row>
    <row r="868" spans="1:4" x14ac:dyDescent="0.25">
      <c r="A868" s="9">
        <v>12</v>
      </c>
      <c r="B868" s="9" t="s">
        <v>544</v>
      </c>
      <c r="C868" s="9" t="s">
        <v>3</v>
      </c>
      <c r="D868" s="9">
        <v>3</v>
      </c>
    </row>
    <row r="869" spans="1:4" x14ac:dyDescent="0.25">
      <c r="A869" s="9">
        <v>12</v>
      </c>
      <c r="B869" s="9" t="s">
        <v>545</v>
      </c>
      <c r="C869" s="9" t="s">
        <v>3</v>
      </c>
      <c r="D869" s="9">
        <v>3</v>
      </c>
    </row>
    <row r="870" spans="1:4" x14ac:dyDescent="0.25">
      <c r="A870" s="9">
        <v>12</v>
      </c>
      <c r="B870" s="9" t="s">
        <v>546</v>
      </c>
      <c r="C870" s="9" t="s">
        <v>3</v>
      </c>
      <c r="D870" s="9">
        <v>3</v>
      </c>
    </row>
    <row r="871" spans="1:4" x14ac:dyDescent="0.25">
      <c r="A871" s="9">
        <v>12</v>
      </c>
      <c r="B871" s="9" t="s">
        <v>547</v>
      </c>
      <c r="C871" s="9" t="s">
        <v>3</v>
      </c>
      <c r="D871" s="9">
        <v>3</v>
      </c>
    </row>
    <row r="872" spans="1:4" x14ac:dyDescent="0.25">
      <c r="A872" s="9">
        <v>12</v>
      </c>
      <c r="B872" s="9" t="s">
        <v>548</v>
      </c>
      <c r="C872" s="9" t="s">
        <v>3</v>
      </c>
      <c r="D872" s="9">
        <v>3</v>
      </c>
    </row>
    <row r="873" spans="1:4" x14ac:dyDescent="0.25">
      <c r="A873" s="9">
        <v>12</v>
      </c>
      <c r="B873" s="9" t="s">
        <v>549</v>
      </c>
      <c r="C873" s="9" t="s">
        <v>3</v>
      </c>
      <c r="D873" s="9">
        <v>3</v>
      </c>
    </row>
    <row r="874" spans="1:4" x14ac:dyDescent="0.25">
      <c r="A874" s="9">
        <v>12</v>
      </c>
      <c r="B874" s="9" t="s">
        <v>550</v>
      </c>
      <c r="C874" s="9" t="s">
        <v>3</v>
      </c>
      <c r="D874" s="9">
        <v>3</v>
      </c>
    </row>
    <row r="875" spans="1:4" x14ac:dyDescent="0.25">
      <c r="A875" s="9">
        <v>12</v>
      </c>
      <c r="B875" s="9" t="s">
        <v>551</v>
      </c>
      <c r="C875" s="9" t="s">
        <v>3</v>
      </c>
      <c r="D875" s="9">
        <v>3</v>
      </c>
    </row>
    <row r="876" spans="1:4" x14ac:dyDescent="0.25">
      <c r="A876" s="9">
        <v>12</v>
      </c>
      <c r="B876" s="9" t="s">
        <v>552</v>
      </c>
      <c r="C876" s="9" t="s">
        <v>3</v>
      </c>
      <c r="D876" s="9">
        <v>3</v>
      </c>
    </row>
    <row r="877" spans="1:4" x14ac:dyDescent="0.25">
      <c r="A877" s="9">
        <v>12</v>
      </c>
      <c r="B877" s="9" t="s">
        <v>553</v>
      </c>
      <c r="C877" s="9" t="s">
        <v>3</v>
      </c>
      <c r="D877" s="9">
        <v>3</v>
      </c>
    </row>
    <row r="878" spans="1:4" x14ac:dyDescent="0.25">
      <c r="A878" s="9">
        <v>12</v>
      </c>
      <c r="B878" s="9" t="s">
        <v>554</v>
      </c>
      <c r="C878" s="9" t="s">
        <v>3</v>
      </c>
      <c r="D878" s="9">
        <v>3</v>
      </c>
    </row>
    <row r="879" spans="1:4" x14ac:dyDescent="0.25">
      <c r="A879" s="9">
        <v>12</v>
      </c>
      <c r="B879" s="9" t="s">
        <v>555</v>
      </c>
      <c r="C879" s="9" t="s">
        <v>3</v>
      </c>
      <c r="D879" s="9">
        <v>3</v>
      </c>
    </row>
    <row r="880" spans="1:4" x14ac:dyDescent="0.25">
      <c r="A880" s="9">
        <v>12</v>
      </c>
      <c r="B880" s="9" t="s">
        <v>556</v>
      </c>
      <c r="C880" s="9" t="s">
        <v>3</v>
      </c>
      <c r="D880" s="9">
        <v>3</v>
      </c>
    </row>
    <row r="881" spans="1:4" x14ac:dyDescent="0.25">
      <c r="A881" s="9">
        <v>12</v>
      </c>
      <c r="B881" s="9" t="s">
        <v>557</v>
      </c>
      <c r="C881" s="9" t="s">
        <v>3</v>
      </c>
      <c r="D881" s="9">
        <v>3</v>
      </c>
    </row>
    <row r="882" spans="1:4" x14ac:dyDescent="0.25">
      <c r="A882" s="9">
        <v>12</v>
      </c>
      <c r="B882" s="9" t="s">
        <v>558</v>
      </c>
      <c r="C882" s="9" t="s">
        <v>3</v>
      </c>
      <c r="D882" s="9">
        <v>3</v>
      </c>
    </row>
    <row r="883" spans="1:4" x14ac:dyDescent="0.25">
      <c r="A883" s="9">
        <v>12</v>
      </c>
      <c r="B883" s="9" t="s">
        <v>559</v>
      </c>
      <c r="C883" s="9" t="s">
        <v>3</v>
      </c>
      <c r="D883" s="9">
        <v>3</v>
      </c>
    </row>
    <row r="884" spans="1:4" x14ac:dyDescent="0.25">
      <c r="A884" s="9">
        <v>12</v>
      </c>
      <c r="B884" s="9" t="s">
        <v>560</v>
      </c>
      <c r="C884" s="9" t="s">
        <v>3</v>
      </c>
      <c r="D884" s="9">
        <v>3</v>
      </c>
    </row>
    <row r="885" spans="1:4" x14ac:dyDescent="0.25">
      <c r="A885" s="9">
        <v>12</v>
      </c>
      <c r="B885" s="9" t="s">
        <v>561</v>
      </c>
      <c r="C885" s="9" t="s">
        <v>3</v>
      </c>
      <c r="D885" s="9">
        <v>3</v>
      </c>
    </row>
    <row r="886" spans="1:4" x14ac:dyDescent="0.25">
      <c r="A886" s="9">
        <v>12</v>
      </c>
      <c r="B886" s="9" t="s">
        <v>562</v>
      </c>
      <c r="C886" s="9" t="s">
        <v>3</v>
      </c>
      <c r="D886" s="9">
        <v>3</v>
      </c>
    </row>
    <row r="887" spans="1:4" x14ac:dyDescent="0.25">
      <c r="A887" s="9">
        <v>12</v>
      </c>
      <c r="B887" s="9" t="s">
        <v>563</v>
      </c>
      <c r="C887" s="9" t="s">
        <v>3</v>
      </c>
      <c r="D887" s="9">
        <v>3</v>
      </c>
    </row>
    <row r="888" spans="1:4" x14ac:dyDescent="0.25">
      <c r="A888" s="9">
        <v>12</v>
      </c>
      <c r="B888" s="9" t="s">
        <v>564</v>
      </c>
      <c r="C888" s="9" t="s">
        <v>3</v>
      </c>
      <c r="D888" s="9">
        <v>3</v>
      </c>
    </row>
    <row r="889" spans="1:4" x14ac:dyDescent="0.25">
      <c r="A889" s="9">
        <v>12</v>
      </c>
      <c r="B889" s="9" t="s">
        <v>565</v>
      </c>
      <c r="C889" s="9" t="s">
        <v>3</v>
      </c>
      <c r="D889" s="9">
        <v>3</v>
      </c>
    </row>
    <row r="890" spans="1:4" x14ac:dyDescent="0.25">
      <c r="A890" s="9">
        <v>12</v>
      </c>
      <c r="B890" s="9" t="s">
        <v>359</v>
      </c>
      <c r="C890" s="9" t="s">
        <v>3</v>
      </c>
      <c r="D890" s="9">
        <v>3</v>
      </c>
    </row>
    <row r="891" spans="1:4" x14ac:dyDescent="0.25">
      <c r="A891" s="9">
        <v>12</v>
      </c>
      <c r="B891" s="9" t="s">
        <v>566</v>
      </c>
      <c r="C891" s="9" t="s">
        <v>3</v>
      </c>
      <c r="D891" s="9">
        <v>3</v>
      </c>
    </row>
    <row r="892" spans="1:4" x14ac:dyDescent="0.25">
      <c r="A892" s="9">
        <v>12</v>
      </c>
      <c r="B892" s="9" t="s">
        <v>567</v>
      </c>
      <c r="C892" s="9" t="s">
        <v>3</v>
      </c>
      <c r="D892" s="9">
        <v>3</v>
      </c>
    </row>
    <row r="893" spans="1:4" x14ac:dyDescent="0.25">
      <c r="A893" s="9">
        <v>12</v>
      </c>
      <c r="B893" s="9" t="s">
        <v>568</v>
      </c>
      <c r="C893" s="9" t="s">
        <v>3</v>
      </c>
      <c r="D893" s="9">
        <v>3</v>
      </c>
    </row>
    <row r="894" spans="1:4" x14ac:dyDescent="0.25">
      <c r="A894" s="9">
        <v>12</v>
      </c>
      <c r="B894" s="9" t="s">
        <v>569</v>
      </c>
      <c r="C894" s="9" t="s">
        <v>3</v>
      </c>
      <c r="D894" s="9">
        <v>3</v>
      </c>
    </row>
    <row r="895" spans="1:4" x14ac:dyDescent="0.25">
      <c r="A895" s="9">
        <v>12</v>
      </c>
      <c r="B895" s="9" t="s">
        <v>570</v>
      </c>
      <c r="C895" s="9" t="s">
        <v>3</v>
      </c>
      <c r="D895" s="9">
        <v>3</v>
      </c>
    </row>
    <row r="896" spans="1:4" x14ac:dyDescent="0.25">
      <c r="A896" s="9">
        <v>12</v>
      </c>
      <c r="B896" s="9" t="s">
        <v>571</v>
      </c>
      <c r="C896" s="9" t="s">
        <v>3</v>
      </c>
      <c r="D896" s="9">
        <v>3</v>
      </c>
    </row>
    <row r="897" spans="1:4" x14ac:dyDescent="0.25">
      <c r="A897" s="9">
        <v>12</v>
      </c>
      <c r="B897" s="9" t="s">
        <v>572</v>
      </c>
      <c r="C897" s="9" t="s">
        <v>3</v>
      </c>
      <c r="D897" s="9">
        <v>3</v>
      </c>
    </row>
    <row r="898" spans="1:4" x14ac:dyDescent="0.25">
      <c r="A898" s="9">
        <v>12</v>
      </c>
      <c r="B898" s="9" t="s">
        <v>573</v>
      </c>
      <c r="C898" s="9" t="s">
        <v>3</v>
      </c>
      <c r="D898" s="9">
        <v>3</v>
      </c>
    </row>
    <row r="899" spans="1:4" x14ac:dyDescent="0.25">
      <c r="A899" s="9">
        <v>12</v>
      </c>
      <c r="B899" s="9" t="s">
        <v>574</v>
      </c>
      <c r="C899" s="9" t="s">
        <v>3</v>
      </c>
      <c r="D899" s="9">
        <v>3</v>
      </c>
    </row>
    <row r="900" spans="1:4" x14ac:dyDescent="0.25">
      <c r="A900" s="9">
        <v>12</v>
      </c>
      <c r="B900" s="9" t="s">
        <v>575</v>
      </c>
      <c r="C900" s="9" t="s">
        <v>3</v>
      </c>
      <c r="D900" s="9">
        <v>3</v>
      </c>
    </row>
    <row r="901" spans="1:4" x14ac:dyDescent="0.25">
      <c r="A901" s="9">
        <v>12</v>
      </c>
      <c r="B901" s="9" t="s">
        <v>576</v>
      </c>
      <c r="C901" s="9" t="s">
        <v>3</v>
      </c>
      <c r="D901" s="9">
        <v>3</v>
      </c>
    </row>
    <row r="902" spans="1:4" x14ac:dyDescent="0.25">
      <c r="A902" s="9">
        <v>12</v>
      </c>
      <c r="B902" s="9" t="s">
        <v>577</v>
      </c>
      <c r="C902" s="9" t="s">
        <v>3</v>
      </c>
      <c r="D902" s="9">
        <v>3</v>
      </c>
    </row>
    <row r="903" spans="1:4" x14ac:dyDescent="0.25">
      <c r="A903" s="9">
        <v>12</v>
      </c>
      <c r="B903" s="9" t="s">
        <v>578</v>
      </c>
      <c r="C903" s="9" t="s">
        <v>3</v>
      </c>
      <c r="D903" s="9">
        <v>3</v>
      </c>
    </row>
    <row r="904" spans="1:4" x14ac:dyDescent="0.25">
      <c r="A904" s="9">
        <v>12</v>
      </c>
      <c r="B904" s="9" t="s">
        <v>579</v>
      </c>
      <c r="C904" s="9" t="s">
        <v>3</v>
      </c>
      <c r="D904" s="9">
        <v>3</v>
      </c>
    </row>
    <row r="905" spans="1:4" x14ac:dyDescent="0.25">
      <c r="A905" s="9">
        <v>12</v>
      </c>
      <c r="B905" s="9" t="s">
        <v>580</v>
      </c>
      <c r="C905" s="9" t="s">
        <v>3</v>
      </c>
      <c r="D905" s="9">
        <v>3</v>
      </c>
    </row>
    <row r="906" spans="1:4" x14ac:dyDescent="0.25">
      <c r="A906" s="9">
        <v>12</v>
      </c>
      <c r="B906" s="9" t="s">
        <v>581</v>
      </c>
      <c r="C906" s="9" t="s">
        <v>3</v>
      </c>
      <c r="D906" s="9">
        <v>3</v>
      </c>
    </row>
    <row r="907" spans="1:4" x14ac:dyDescent="0.25">
      <c r="A907" s="9">
        <v>12</v>
      </c>
      <c r="B907" s="9" t="s">
        <v>288</v>
      </c>
      <c r="C907" s="9" t="s">
        <v>3</v>
      </c>
      <c r="D907" s="9">
        <v>3</v>
      </c>
    </row>
    <row r="908" spans="1:4" x14ac:dyDescent="0.25">
      <c r="A908" s="9">
        <v>12</v>
      </c>
      <c r="B908" s="9" t="s">
        <v>582</v>
      </c>
      <c r="C908" s="9" t="s">
        <v>3</v>
      </c>
      <c r="D908" s="9">
        <v>3</v>
      </c>
    </row>
    <row r="909" spans="1:4" x14ac:dyDescent="0.25">
      <c r="A909" s="9">
        <v>12</v>
      </c>
      <c r="B909" s="9" t="s">
        <v>583</v>
      </c>
      <c r="C909" s="9" t="s">
        <v>3</v>
      </c>
      <c r="D909" s="9">
        <v>3</v>
      </c>
    </row>
    <row r="910" spans="1:4" x14ac:dyDescent="0.25">
      <c r="A910" s="9">
        <v>12</v>
      </c>
      <c r="B910" s="9" t="s">
        <v>584</v>
      </c>
      <c r="C910" s="9" t="s">
        <v>3</v>
      </c>
      <c r="D910" s="9">
        <v>3</v>
      </c>
    </row>
    <row r="911" spans="1:4" x14ac:dyDescent="0.25">
      <c r="A911" s="9">
        <v>12</v>
      </c>
      <c r="B911" s="9" t="s">
        <v>286</v>
      </c>
      <c r="C911" s="9" t="s">
        <v>4</v>
      </c>
      <c r="D911" s="9">
        <v>10</v>
      </c>
    </row>
    <row r="912" spans="1:4" x14ac:dyDescent="0.25">
      <c r="A912" s="9">
        <v>12</v>
      </c>
      <c r="B912" s="9" t="s">
        <v>287</v>
      </c>
      <c r="C912" s="9" t="s">
        <v>4</v>
      </c>
      <c r="D912" s="9">
        <v>10</v>
      </c>
    </row>
    <row r="913" spans="1:4" x14ac:dyDescent="0.25">
      <c r="A913" s="9">
        <v>12</v>
      </c>
      <c r="B913" s="9" t="s">
        <v>288</v>
      </c>
      <c r="C913" s="9" t="s">
        <v>4</v>
      </c>
      <c r="D913" s="9">
        <v>10</v>
      </c>
    </row>
    <row r="914" spans="1:4" x14ac:dyDescent="0.25">
      <c r="A914" s="9">
        <v>12</v>
      </c>
      <c r="B914" s="9" t="s">
        <v>289</v>
      </c>
      <c r="C914" s="9" t="s">
        <v>4</v>
      </c>
      <c r="D914" s="9">
        <v>10</v>
      </c>
    </row>
    <row r="915" spans="1:4" x14ac:dyDescent="0.25">
      <c r="A915" s="9">
        <v>12</v>
      </c>
      <c r="B915" s="9" t="s">
        <v>290</v>
      </c>
      <c r="C915" s="9" t="s">
        <v>4</v>
      </c>
      <c r="D915" s="9">
        <v>10</v>
      </c>
    </row>
    <row r="916" spans="1:4" x14ac:dyDescent="0.25">
      <c r="A916" s="9">
        <v>12</v>
      </c>
      <c r="B916" s="9" t="s">
        <v>291</v>
      </c>
      <c r="C916" s="9" t="s">
        <v>4</v>
      </c>
      <c r="D916" s="9">
        <v>10</v>
      </c>
    </row>
    <row r="917" spans="1:4" x14ac:dyDescent="0.25">
      <c r="A917" s="9">
        <v>12</v>
      </c>
      <c r="B917" s="9" t="s">
        <v>292</v>
      </c>
      <c r="C917" s="9" t="s">
        <v>4</v>
      </c>
      <c r="D917" s="9">
        <v>10</v>
      </c>
    </row>
    <row r="918" spans="1:4" x14ac:dyDescent="0.25">
      <c r="A918" s="9">
        <v>12</v>
      </c>
      <c r="B918" s="9" t="s">
        <v>293</v>
      </c>
      <c r="C918" s="9" t="s">
        <v>4</v>
      </c>
      <c r="D918" s="9">
        <v>10</v>
      </c>
    </row>
    <row r="919" spans="1:4" x14ac:dyDescent="0.25">
      <c r="A919" s="9">
        <v>12</v>
      </c>
      <c r="B919" s="9" t="s">
        <v>294</v>
      </c>
      <c r="C919" s="9" t="s">
        <v>4</v>
      </c>
      <c r="D919" s="9">
        <v>10</v>
      </c>
    </row>
    <row r="920" spans="1:4" x14ac:dyDescent="0.25">
      <c r="A920" s="9">
        <v>12</v>
      </c>
      <c r="B920" s="9" t="s">
        <v>295</v>
      </c>
      <c r="C920" s="9" t="s">
        <v>4</v>
      </c>
      <c r="D920" s="9">
        <v>10</v>
      </c>
    </row>
    <row r="921" spans="1:4" x14ac:dyDescent="0.25">
      <c r="A921" s="9">
        <v>12</v>
      </c>
      <c r="B921" s="9" t="s">
        <v>296</v>
      </c>
      <c r="C921" s="9" t="s">
        <v>4</v>
      </c>
      <c r="D921" s="9">
        <v>10</v>
      </c>
    </row>
    <row r="922" spans="1:4" x14ac:dyDescent="0.25">
      <c r="A922" s="9">
        <v>12</v>
      </c>
      <c r="B922" s="9" t="s">
        <v>297</v>
      </c>
      <c r="C922" s="9" t="s">
        <v>4</v>
      </c>
      <c r="D922" s="9">
        <v>10</v>
      </c>
    </row>
    <row r="923" spans="1:4" x14ac:dyDescent="0.25">
      <c r="A923" s="9">
        <v>12</v>
      </c>
      <c r="B923" s="9" t="s">
        <v>298</v>
      </c>
      <c r="C923" s="9" t="s">
        <v>4</v>
      </c>
      <c r="D923" s="9">
        <v>10</v>
      </c>
    </row>
    <row r="924" spans="1:4" x14ac:dyDescent="0.25">
      <c r="A924" s="9">
        <v>12</v>
      </c>
      <c r="B924" s="9" t="s">
        <v>299</v>
      </c>
      <c r="C924" s="9" t="s">
        <v>4</v>
      </c>
      <c r="D924" s="9">
        <v>10</v>
      </c>
    </row>
    <row r="925" spans="1:4" x14ac:dyDescent="0.25">
      <c r="A925" s="9">
        <v>12</v>
      </c>
      <c r="B925" s="9" t="s">
        <v>300</v>
      </c>
      <c r="C925" s="9" t="s">
        <v>4</v>
      </c>
      <c r="D925" s="9">
        <v>10</v>
      </c>
    </row>
    <row r="926" spans="1:4" x14ac:dyDescent="0.25">
      <c r="A926" s="9">
        <v>12</v>
      </c>
      <c r="B926" s="9" t="s">
        <v>301</v>
      </c>
      <c r="C926" s="9" t="s">
        <v>4</v>
      </c>
      <c r="D926" s="9">
        <v>10</v>
      </c>
    </row>
    <row r="927" spans="1:4" x14ac:dyDescent="0.25">
      <c r="A927" s="9">
        <v>12</v>
      </c>
      <c r="B927" s="9" t="s">
        <v>302</v>
      </c>
      <c r="C927" s="9" t="s">
        <v>4</v>
      </c>
      <c r="D927" s="9">
        <v>10</v>
      </c>
    </row>
    <row r="928" spans="1:4" x14ac:dyDescent="0.25">
      <c r="A928" s="9">
        <v>12</v>
      </c>
      <c r="B928" s="9" t="s">
        <v>303</v>
      </c>
      <c r="C928" s="9" t="s">
        <v>4</v>
      </c>
      <c r="D928" s="9">
        <v>10</v>
      </c>
    </row>
    <row r="929" spans="1:4" x14ac:dyDescent="0.25">
      <c r="A929" s="9">
        <v>12</v>
      </c>
      <c r="B929" s="9" t="s">
        <v>304</v>
      </c>
      <c r="C929" s="9" t="s">
        <v>4</v>
      </c>
      <c r="D929" s="9">
        <v>10</v>
      </c>
    </row>
    <row r="930" spans="1:4" x14ac:dyDescent="0.25">
      <c r="A930" s="9">
        <v>12</v>
      </c>
      <c r="B930" s="9" t="s">
        <v>305</v>
      </c>
      <c r="C930" s="9" t="s">
        <v>4</v>
      </c>
      <c r="D930" s="9">
        <v>10</v>
      </c>
    </row>
    <row r="931" spans="1:4" x14ac:dyDescent="0.25">
      <c r="A931" s="9">
        <v>12</v>
      </c>
      <c r="B931" s="9" t="s">
        <v>306</v>
      </c>
      <c r="C931" s="9" t="s">
        <v>4</v>
      </c>
      <c r="D931" s="9">
        <v>10</v>
      </c>
    </row>
    <row r="932" spans="1:4" x14ac:dyDescent="0.25">
      <c r="A932" s="9">
        <v>12</v>
      </c>
      <c r="B932" s="9" t="s">
        <v>307</v>
      </c>
      <c r="C932" s="9" t="s">
        <v>4</v>
      </c>
      <c r="D932" s="9">
        <v>10</v>
      </c>
    </row>
    <row r="933" spans="1:4" x14ac:dyDescent="0.25">
      <c r="A933" s="9">
        <v>12</v>
      </c>
      <c r="B933" s="9" t="s">
        <v>308</v>
      </c>
      <c r="C933" s="9" t="s">
        <v>4</v>
      </c>
      <c r="D933" s="9">
        <v>10</v>
      </c>
    </row>
    <row r="934" spans="1:4" x14ac:dyDescent="0.25">
      <c r="A934" s="9">
        <v>12</v>
      </c>
      <c r="B934" s="9" t="s">
        <v>309</v>
      </c>
      <c r="C934" s="9" t="s">
        <v>4</v>
      </c>
      <c r="D934" s="9">
        <v>10</v>
      </c>
    </row>
    <row r="935" spans="1:4" x14ac:dyDescent="0.25">
      <c r="A935" s="9">
        <v>12</v>
      </c>
      <c r="B935" s="9" t="s">
        <v>310</v>
      </c>
      <c r="C935" s="9" t="s">
        <v>4</v>
      </c>
      <c r="D935" s="9">
        <v>10</v>
      </c>
    </row>
    <row r="936" spans="1:4" x14ac:dyDescent="0.25">
      <c r="A936" s="9">
        <v>12</v>
      </c>
      <c r="B936" s="9" t="s">
        <v>311</v>
      </c>
      <c r="C936" s="9" t="s">
        <v>4</v>
      </c>
      <c r="D936" s="9">
        <v>10</v>
      </c>
    </row>
    <row r="937" spans="1:4" x14ac:dyDescent="0.25">
      <c r="A937" s="9">
        <v>12</v>
      </c>
      <c r="B937" s="9" t="s">
        <v>312</v>
      </c>
      <c r="C937" s="9" t="s">
        <v>4</v>
      </c>
      <c r="D937" s="9">
        <v>10</v>
      </c>
    </row>
    <row r="938" spans="1:4" x14ac:dyDescent="0.25">
      <c r="A938" s="9">
        <v>12</v>
      </c>
      <c r="B938" s="9" t="s">
        <v>313</v>
      </c>
      <c r="C938" s="9" t="s">
        <v>4</v>
      </c>
      <c r="D938" s="9">
        <v>10</v>
      </c>
    </row>
    <row r="939" spans="1:4" x14ac:dyDescent="0.25">
      <c r="A939" s="9">
        <v>12</v>
      </c>
      <c r="B939" s="9" t="s">
        <v>314</v>
      </c>
      <c r="C939" s="9" t="s">
        <v>4</v>
      </c>
      <c r="D939" s="9">
        <v>10</v>
      </c>
    </row>
    <row r="940" spans="1:4" x14ac:dyDescent="0.25">
      <c r="A940" s="9">
        <v>12</v>
      </c>
      <c r="B940" s="9" t="s">
        <v>315</v>
      </c>
      <c r="C940" s="9" t="s">
        <v>4</v>
      </c>
      <c r="D940" s="9">
        <v>10</v>
      </c>
    </row>
    <row r="941" spans="1:4" x14ac:dyDescent="0.25">
      <c r="A941" s="9">
        <v>12</v>
      </c>
      <c r="B941" s="9" t="s">
        <v>316</v>
      </c>
      <c r="C941" s="9" t="s">
        <v>4</v>
      </c>
      <c r="D941" s="9">
        <v>10</v>
      </c>
    </row>
    <row r="942" spans="1:4" x14ac:dyDescent="0.25">
      <c r="A942" s="9">
        <v>12</v>
      </c>
      <c r="B942" s="9" t="s">
        <v>317</v>
      </c>
      <c r="C942" s="9" t="s">
        <v>4</v>
      </c>
      <c r="D942" s="9">
        <v>10</v>
      </c>
    </row>
    <row r="943" spans="1:4" x14ac:dyDescent="0.25">
      <c r="A943" s="9">
        <v>12</v>
      </c>
      <c r="B943" s="9" t="s">
        <v>318</v>
      </c>
      <c r="C943" s="9" t="s">
        <v>4</v>
      </c>
      <c r="D943" s="9">
        <v>10</v>
      </c>
    </row>
    <row r="944" spans="1:4" x14ac:dyDescent="0.25">
      <c r="A944" s="9">
        <v>12</v>
      </c>
      <c r="B944" s="9" t="s">
        <v>319</v>
      </c>
      <c r="C944" s="9" t="s">
        <v>4</v>
      </c>
      <c r="D944" s="9">
        <v>10</v>
      </c>
    </row>
    <row r="945" spans="1:4" x14ac:dyDescent="0.25">
      <c r="A945" s="9">
        <v>12</v>
      </c>
      <c r="B945" s="9" t="s">
        <v>320</v>
      </c>
      <c r="C945" s="9" t="s">
        <v>4</v>
      </c>
      <c r="D945" s="9">
        <v>10</v>
      </c>
    </row>
    <row r="946" spans="1:4" x14ac:dyDescent="0.25">
      <c r="A946" s="9">
        <v>12</v>
      </c>
      <c r="B946" s="9" t="s">
        <v>321</v>
      </c>
      <c r="C946" s="9" t="s">
        <v>4</v>
      </c>
      <c r="D946" s="9">
        <v>10</v>
      </c>
    </row>
    <row r="947" spans="1:4" x14ac:dyDescent="0.25">
      <c r="A947" s="9">
        <v>12</v>
      </c>
      <c r="B947" s="9" t="s">
        <v>322</v>
      </c>
      <c r="C947" s="9" t="s">
        <v>4</v>
      </c>
      <c r="D947" s="9">
        <v>10</v>
      </c>
    </row>
    <row r="948" spans="1:4" x14ac:dyDescent="0.25">
      <c r="A948" s="9">
        <v>12</v>
      </c>
      <c r="B948" s="9" t="s">
        <v>323</v>
      </c>
      <c r="C948" s="9" t="s">
        <v>4</v>
      </c>
      <c r="D948" s="9">
        <v>10</v>
      </c>
    </row>
    <row r="949" spans="1:4" x14ac:dyDescent="0.25">
      <c r="A949" s="9">
        <v>12</v>
      </c>
      <c r="B949" s="9" t="s">
        <v>324</v>
      </c>
      <c r="C949" s="9" t="s">
        <v>4</v>
      </c>
      <c r="D949" s="9">
        <v>10</v>
      </c>
    </row>
    <row r="950" spans="1:4" x14ac:dyDescent="0.25">
      <c r="A950" s="9">
        <v>12</v>
      </c>
      <c r="B950" s="9" t="s">
        <v>325</v>
      </c>
      <c r="C950" s="9" t="s">
        <v>4</v>
      </c>
      <c r="D950" s="9">
        <v>10</v>
      </c>
    </row>
    <row r="951" spans="1:4" x14ac:dyDescent="0.25">
      <c r="A951" s="9">
        <v>12</v>
      </c>
      <c r="B951" s="9" t="s">
        <v>326</v>
      </c>
      <c r="C951" s="9" t="s">
        <v>4</v>
      </c>
      <c r="D951" s="9">
        <v>10</v>
      </c>
    </row>
    <row r="952" spans="1:4" x14ac:dyDescent="0.25">
      <c r="A952" s="9">
        <v>12</v>
      </c>
      <c r="B952" s="9" t="s">
        <v>327</v>
      </c>
      <c r="C952" s="9" t="s">
        <v>4</v>
      </c>
      <c r="D952" s="9">
        <v>10</v>
      </c>
    </row>
    <row r="953" spans="1:4" x14ac:dyDescent="0.25">
      <c r="A953" s="9">
        <v>12</v>
      </c>
      <c r="B953" s="9" t="s">
        <v>328</v>
      </c>
      <c r="C953" s="9" t="s">
        <v>4</v>
      </c>
      <c r="D953" s="9">
        <v>10</v>
      </c>
    </row>
    <row r="954" spans="1:4" x14ac:dyDescent="0.25">
      <c r="A954" s="9">
        <v>12</v>
      </c>
      <c r="B954" s="9" t="s">
        <v>329</v>
      </c>
      <c r="C954" s="9" t="s">
        <v>4</v>
      </c>
      <c r="D954" s="9">
        <v>10</v>
      </c>
    </row>
    <row r="955" spans="1:4" x14ac:dyDescent="0.25">
      <c r="A955" s="9">
        <v>12</v>
      </c>
      <c r="B955" s="9" t="s">
        <v>330</v>
      </c>
      <c r="C955" s="9" t="s">
        <v>4</v>
      </c>
      <c r="D955" s="9">
        <v>10</v>
      </c>
    </row>
    <row r="956" spans="1:4" x14ac:dyDescent="0.25">
      <c r="A956" s="9">
        <v>12</v>
      </c>
      <c r="B956" s="9" t="s">
        <v>331</v>
      </c>
      <c r="C956" s="9" t="s">
        <v>4</v>
      </c>
      <c r="D956" s="9">
        <v>10</v>
      </c>
    </row>
    <row r="957" spans="1:4" x14ac:dyDescent="0.25">
      <c r="A957" s="9">
        <v>12</v>
      </c>
      <c r="B957" s="9" t="s">
        <v>332</v>
      </c>
      <c r="C957" s="9" t="s">
        <v>4</v>
      </c>
      <c r="D957" s="9">
        <v>10</v>
      </c>
    </row>
    <row r="958" spans="1:4" x14ac:dyDescent="0.25">
      <c r="A958" s="9">
        <v>12</v>
      </c>
      <c r="B958" s="9" t="s">
        <v>333</v>
      </c>
      <c r="C958" s="9" t="s">
        <v>4</v>
      </c>
      <c r="D958" s="9">
        <v>10</v>
      </c>
    </row>
    <row r="959" spans="1:4" x14ac:dyDescent="0.25">
      <c r="A959" s="9">
        <v>12</v>
      </c>
      <c r="B959" s="9" t="s">
        <v>334</v>
      </c>
      <c r="C959" s="9" t="s">
        <v>4</v>
      </c>
      <c r="D959" s="9">
        <v>10</v>
      </c>
    </row>
    <row r="960" spans="1:4" x14ac:dyDescent="0.25">
      <c r="A960" s="9">
        <v>12</v>
      </c>
      <c r="B960" s="9" t="s">
        <v>335</v>
      </c>
      <c r="C960" s="9" t="s">
        <v>4</v>
      </c>
      <c r="D960" s="9">
        <v>10</v>
      </c>
    </row>
    <row r="961" spans="1:4" x14ac:dyDescent="0.25">
      <c r="A961" s="9">
        <v>12</v>
      </c>
      <c r="B961" s="9" t="s">
        <v>336</v>
      </c>
      <c r="C961" s="9" t="s">
        <v>4</v>
      </c>
      <c r="D961" s="9">
        <v>10</v>
      </c>
    </row>
    <row r="962" spans="1:4" x14ac:dyDescent="0.25">
      <c r="A962" s="9">
        <v>12</v>
      </c>
      <c r="B962" s="9" t="s">
        <v>337</v>
      </c>
      <c r="C962" s="9" t="s">
        <v>4</v>
      </c>
      <c r="D962" s="9">
        <v>10</v>
      </c>
    </row>
    <row r="963" spans="1:4" x14ac:dyDescent="0.25">
      <c r="A963" s="9">
        <v>12</v>
      </c>
      <c r="B963" s="9" t="s">
        <v>338</v>
      </c>
      <c r="C963" s="9" t="s">
        <v>4</v>
      </c>
      <c r="D963" s="9">
        <v>10</v>
      </c>
    </row>
    <row r="964" spans="1:4" x14ac:dyDescent="0.25">
      <c r="A964" s="9">
        <v>12</v>
      </c>
      <c r="B964" s="9" t="s">
        <v>339</v>
      </c>
      <c r="C964" s="9" t="s">
        <v>4</v>
      </c>
      <c r="D964" s="9">
        <v>10</v>
      </c>
    </row>
    <row r="965" spans="1:4" x14ac:dyDescent="0.25">
      <c r="A965" s="9">
        <v>12</v>
      </c>
      <c r="B965" s="9" t="s">
        <v>340</v>
      </c>
      <c r="C965" s="9" t="s">
        <v>4</v>
      </c>
      <c r="D965" s="9">
        <v>10</v>
      </c>
    </row>
    <row r="966" spans="1:4" x14ac:dyDescent="0.25">
      <c r="A966" s="9">
        <v>12</v>
      </c>
      <c r="B966" s="9" t="s">
        <v>341</v>
      </c>
      <c r="C966" s="9" t="s">
        <v>4</v>
      </c>
      <c r="D966" s="9">
        <v>10</v>
      </c>
    </row>
    <row r="967" spans="1:4" x14ac:dyDescent="0.25">
      <c r="A967" s="9">
        <v>12</v>
      </c>
      <c r="B967" s="9" t="s">
        <v>342</v>
      </c>
      <c r="C967" s="9" t="s">
        <v>4</v>
      </c>
      <c r="D967" s="9">
        <v>10</v>
      </c>
    </row>
    <row r="968" spans="1:4" x14ac:dyDescent="0.25">
      <c r="A968" s="9">
        <v>12</v>
      </c>
      <c r="B968" s="9" t="s">
        <v>343</v>
      </c>
      <c r="C968" s="9" t="s">
        <v>4</v>
      </c>
      <c r="D968" s="9">
        <v>10</v>
      </c>
    </row>
    <row r="969" spans="1:4" x14ac:dyDescent="0.25">
      <c r="A969" s="9">
        <v>12</v>
      </c>
      <c r="B969" s="9" t="s">
        <v>344</v>
      </c>
      <c r="C969" s="9" t="s">
        <v>4</v>
      </c>
      <c r="D969" s="9">
        <v>10</v>
      </c>
    </row>
    <row r="970" spans="1:4" x14ac:dyDescent="0.25">
      <c r="A970" s="9">
        <v>12</v>
      </c>
      <c r="B970" s="9" t="s">
        <v>345</v>
      </c>
      <c r="C970" s="9" t="s">
        <v>4</v>
      </c>
      <c r="D970" s="9">
        <v>10</v>
      </c>
    </row>
    <row r="971" spans="1:4" x14ac:dyDescent="0.25">
      <c r="A971" s="9">
        <v>12</v>
      </c>
      <c r="B971" s="9" t="s">
        <v>346</v>
      </c>
      <c r="C971" s="9" t="s">
        <v>4</v>
      </c>
      <c r="D971" s="9">
        <v>10</v>
      </c>
    </row>
    <row r="972" spans="1:4" x14ac:dyDescent="0.25">
      <c r="A972" s="9">
        <v>12</v>
      </c>
      <c r="B972" s="9" t="s">
        <v>347</v>
      </c>
      <c r="C972" s="9" t="s">
        <v>4</v>
      </c>
      <c r="D972" s="9">
        <v>10</v>
      </c>
    </row>
    <row r="973" spans="1:4" x14ac:dyDescent="0.25">
      <c r="A973" s="9">
        <v>12</v>
      </c>
      <c r="B973" s="9" t="s">
        <v>348</v>
      </c>
      <c r="C973" s="9" t="s">
        <v>4</v>
      </c>
      <c r="D973" s="9">
        <v>10</v>
      </c>
    </row>
    <row r="974" spans="1:4" x14ac:dyDescent="0.25">
      <c r="A974" s="9">
        <v>12</v>
      </c>
      <c r="B974" s="9" t="s">
        <v>349</v>
      </c>
      <c r="C974" s="9" t="s">
        <v>4</v>
      </c>
      <c r="D974" s="9">
        <v>10</v>
      </c>
    </row>
    <row r="975" spans="1:4" x14ac:dyDescent="0.25">
      <c r="A975" s="9">
        <v>12</v>
      </c>
      <c r="B975" s="9" t="s">
        <v>350</v>
      </c>
      <c r="C975" s="9" t="s">
        <v>4</v>
      </c>
      <c r="D975" s="9">
        <v>10</v>
      </c>
    </row>
    <row r="976" spans="1:4" x14ac:dyDescent="0.25">
      <c r="A976" s="9">
        <v>12</v>
      </c>
      <c r="B976" s="9" t="s">
        <v>351</v>
      </c>
      <c r="C976" s="9" t="s">
        <v>4</v>
      </c>
      <c r="D976" s="9">
        <v>10</v>
      </c>
    </row>
    <row r="977" spans="1:4" x14ac:dyDescent="0.25">
      <c r="A977" s="9">
        <v>12</v>
      </c>
      <c r="B977" s="9" t="s">
        <v>352</v>
      </c>
      <c r="C977" s="9" t="s">
        <v>4</v>
      </c>
      <c r="D977" s="9">
        <v>10</v>
      </c>
    </row>
    <row r="978" spans="1:4" x14ac:dyDescent="0.25">
      <c r="A978" s="9">
        <v>12</v>
      </c>
      <c r="B978" s="9" t="s">
        <v>353</v>
      </c>
      <c r="C978" s="9" t="s">
        <v>4</v>
      </c>
      <c r="D978" s="9">
        <v>10</v>
      </c>
    </row>
    <row r="979" spans="1:4" x14ac:dyDescent="0.25">
      <c r="A979" s="9">
        <v>12</v>
      </c>
      <c r="B979" s="9" t="s">
        <v>354</v>
      </c>
      <c r="C979" s="9" t="s">
        <v>4</v>
      </c>
      <c r="D979" s="9">
        <v>10</v>
      </c>
    </row>
    <row r="980" spans="1:4" x14ac:dyDescent="0.25">
      <c r="A980" s="9">
        <v>12</v>
      </c>
      <c r="B980" s="9" t="s">
        <v>355</v>
      </c>
      <c r="C980" s="9" t="s">
        <v>4</v>
      </c>
      <c r="D980" s="9">
        <v>10</v>
      </c>
    </row>
    <row r="981" spans="1:4" x14ac:dyDescent="0.25">
      <c r="A981" s="9">
        <v>12</v>
      </c>
      <c r="B981" s="9" t="s">
        <v>356</v>
      </c>
      <c r="C981" s="9" t="s">
        <v>4</v>
      </c>
      <c r="D981" s="9">
        <v>10</v>
      </c>
    </row>
    <row r="982" spans="1:4" x14ac:dyDescent="0.25">
      <c r="A982" s="9">
        <v>12</v>
      </c>
      <c r="B982" s="9" t="s">
        <v>357</v>
      </c>
      <c r="C982" s="9" t="s">
        <v>4</v>
      </c>
      <c r="D982" s="9">
        <v>10</v>
      </c>
    </row>
    <row r="983" spans="1:4" x14ac:dyDescent="0.25">
      <c r="A983" s="9">
        <v>12</v>
      </c>
      <c r="B983" s="9" t="s">
        <v>358</v>
      </c>
      <c r="C983" s="9" t="s">
        <v>4</v>
      </c>
      <c r="D983" s="9">
        <v>10</v>
      </c>
    </row>
    <row r="984" spans="1:4" x14ac:dyDescent="0.25">
      <c r="A984" s="9">
        <v>12</v>
      </c>
      <c r="B984" s="9" t="s">
        <v>359</v>
      </c>
      <c r="C984" s="9" t="s">
        <v>4</v>
      </c>
      <c r="D984" s="9">
        <v>10</v>
      </c>
    </row>
    <row r="985" spans="1:4" x14ac:dyDescent="0.25">
      <c r="A985" s="9">
        <v>12</v>
      </c>
      <c r="B985" s="9" t="s">
        <v>360</v>
      </c>
      <c r="C985" s="9" t="s">
        <v>4</v>
      </c>
      <c r="D985" s="9">
        <v>10</v>
      </c>
    </row>
    <row r="986" spans="1:4" x14ac:dyDescent="0.25">
      <c r="A986" s="9">
        <v>12</v>
      </c>
      <c r="B986" s="9" t="s">
        <v>361</v>
      </c>
      <c r="C986" s="9" t="s">
        <v>4</v>
      </c>
      <c r="D986" s="9">
        <v>10</v>
      </c>
    </row>
    <row r="987" spans="1:4" x14ac:dyDescent="0.25">
      <c r="A987" s="9">
        <v>12</v>
      </c>
      <c r="B987" s="9" t="s">
        <v>362</v>
      </c>
      <c r="C987" s="9" t="s">
        <v>4</v>
      </c>
      <c r="D987" s="9">
        <v>10</v>
      </c>
    </row>
    <row r="988" spans="1:4" x14ac:dyDescent="0.25">
      <c r="A988" s="9">
        <v>12</v>
      </c>
      <c r="B988" s="9" t="s">
        <v>363</v>
      </c>
      <c r="C988" s="9" t="s">
        <v>4</v>
      </c>
      <c r="D988" s="9">
        <v>10</v>
      </c>
    </row>
    <row r="989" spans="1:4" x14ac:dyDescent="0.25">
      <c r="A989" s="9">
        <v>12</v>
      </c>
      <c r="B989" s="9" t="s">
        <v>364</v>
      </c>
      <c r="C989" s="9" t="s">
        <v>4</v>
      </c>
      <c r="D989" s="9">
        <v>10</v>
      </c>
    </row>
    <row r="990" spans="1:4" x14ac:dyDescent="0.25">
      <c r="A990" s="9">
        <v>12</v>
      </c>
      <c r="B990" s="9" t="s">
        <v>365</v>
      </c>
      <c r="C990" s="9" t="s">
        <v>4</v>
      </c>
      <c r="D990" s="9">
        <v>10</v>
      </c>
    </row>
    <row r="991" spans="1:4" x14ac:dyDescent="0.25">
      <c r="A991" s="9">
        <v>12</v>
      </c>
      <c r="B991" s="9" t="s">
        <v>366</v>
      </c>
      <c r="C991" s="9" t="s">
        <v>4</v>
      </c>
      <c r="D991" s="9">
        <v>10</v>
      </c>
    </row>
    <row r="992" spans="1:4" x14ac:dyDescent="0.25">
      <c r="A992" s="9">
        <v>12</v>
      </c>
      <c r="B992" s="9" t="s">
        <v>367</v>
      </c>
      <c r="C992" s="9" t="s">
        <v>4</v>
      </c>
      <c r="D992" s="9">
        <v>10</v>
      </c>
    </row>
    <row r="993" spans="1:4" x14ac:dyDescent="0.25">
      <c r="A993" s="9">
        <v>12</v>
      </c>
      <c r="B993" s="9" t="s">
        <v>368</v>
      </c>
      <c r="C993" s="9" t="s">
        <v>4</v>
      </c>
      <c r="D993" s="9">
        <v>10</v>
      </c>
    </row>
    <row r="994" spans="1:4" x14ac:dyDescent="0.25">
      <c r="A994" s="9">
        <v>12</v>
      </c>
      <c r="B994" s="9" t="s">
        <v>369</v>
      </c>
      <c r="C994" s="9" t="s">
        <v>4</v>
      </c>
      <c r="D994" s="9">
        <v>10</v>
      </c>
    </row>
    <row r="995" spans="1:4" x14ac:dyDescent="0.25">
      <c r="A995" s="9">
        <v>12</v>
      </c>
      <c r="B995" s="9" t="s">
        <v>370</v>
      </c>
      <c r="C995" s="9" t="s">
        <v>4</v>
      </c>
      <c r="D995" s="9">
        <v>10</v>
      </c>
    </row>
    <row r="996" spans="1:4" x14ac:dyDescent="0.25">
      <c r="A996" s="9">
        <v>12</v>
      </c>
      <c r="B996" s="9" t="s">
        <v>371</v>
      </c>
      <c r="C996" s="9" t="s">
        <v>4</v>
      </c>
      <c r="D996" s="9">
        <v>10</v>
      </c>
    </row>
    <row r="997" spans="1:4" x14ac:dyDescent="0.25">
      <c r="A997" s="9">
        <v>12</v>
      </c>
      <c r="B997" s="9" t="s">
        <v>372</v>
      </c>
      <c r="C997" s="9" t="s">
        <v>4</v>
      </c>
      <c r="D997" s="9">
        <v>10</v>
      </c>
    </row>
    <row r="998" spans="1:4" x14ac:dyDescent="0.25">
      <c r="A998" s="9">
        <v>12</v>
      </c>
      <c r="B998" s="9" t="s">
        <v>373</v>
      </c>
      <c r="C998" s="9" t="s">
        <v>4</v>
      </c>
      <c r="D998" s="9">
        <v>10</v>
      </c>
    </row>
    <row r="999" spans="1:4" x14ac:dyDescent="0.25">
      <c r="A999" s="9">
        <v>12</v>
      </c>
      <c r="B999" s="9" t="s">
        <v>374</v>
      </c>
      <c r="C999" s="9" t="s">
        <v>4</v>
      </c>
      <c r="D999" s="9">
        <v>10</v>
      </c>
    </row>
    <row r="1000" spans="1:4" x14ac:dyDescent="0.25">
      <c r="A1000" s="9">
        <v>12</v>
      </c>
      <c r="B1000" s="9" t="s">
        <v>375</v>
      </c>
      <c r="C1000" s="9" t="s">
        <v>4</v>
      </c>
      <c r="D1000" s="9">
        <v>10</v>
      </c>
    </row>
    <row r="1001" spans="1:4" x14ac:dyDescent="0.25">
      <c r="A1001" s="9">
        <v>12</v>
      </c>
      <c r="B1001" s="9" t="s">
        <v>376</v>
      </c>
      <c r="C1001" s="9" t="s">
        <v>4</v>
      </c>
      <c r="D1001" s="9">
        <v>10</v>
      </c>
    </row>
  </sheetData>
  <dataValidations count="1">
    <dataValidation type="list" allowBlank="1" showInputMessage="1" showErrorMessage="1" sqref="C2 F20" xr:uid="{4D646D8E-F173-4F00-9706-801CDEC892DC}">
      <formula1>$C$2:$C$1001</formula1>
    </dataValidation>
  </dataValidations>
  <pageMargins left="0.7" right="0.7" top="0.75" bottom="0.75" header="0.3" footer="0.3"/>
  <pageSetup orientation="portrait" r:id="rId2"/>
  <drawing r:id="rId3"/>
  <tableParts count="1">
    <tablePart r:id="rId4"/>
  </tableParts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A172A-5A9C-46D1-8035-7A155763C37C}">
  <sheetPr codeName="Sheet1"/>
  <dimension ref="A1:Z1003"/>
  <sheetViews>
    <sheetView showGridLines="0" zoomScale="130" zoomScaleNormal="130" workbookViewId="0">
      <selection activeCell="E21" sqref="E21"/>
    </sheetView>
  </sheetViews>
  <sheetFormatPr defaultRowHeight="15" x14ac:dyDescent="0.25"/>
  <cols>
    <col min="1" max="1" width="64.5703125" bestFit="1" customWidth="1"/>
    <col min="2" max="2" width="18.42578125" customWidth="1"/>
    <col min="3" max="3" width="14.28515625" bestFit="1" customWidth="1"/>
  </cols>
  <sheetData>
    <row r="1" spans="1:26" ht="20.25" customHeight="1" x14ac:dyDescent="0.25">
      <c r="A1" s="6" t="s">
        <v>893</v>
      </c>
      <c r="B1" s="28" t="s">
        <v>589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W1" s="26"/>
      <c r="X1" t="s">
        <v>0</v>
      </c>
      <c r="Y1" t="s">
        <v>284</v>
      </c>
      <c r="Z1" t="s">
        <v>285</v>
      </c>
    </row>
    <row r="2" spans="1:26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X2" t="s">
        <v>1</v>
      </c>
      <c r="Y2" t="s">
        <v>418</v>
      </c>
      <c r="Z2">
        <v>2</v>
      </c>
    </row>
    <row r="3" spans="1:26" ht="16.5" customHeight="1" x14ac:dyDescent="0.25">
      <c r="A3" s="27" t="s">
        <v>0</v>
      </c>
      <c r="B3" s="27" t="s">
        <v>284</v>
      </c>
      <c r="C3" s="27" t="s">
        <v>285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X3" t="s">
        <v>2</v>
      </c>
      <c r="Y3" t="s">
        <v>418</v>
      </c>
      <c r="Z3">
        <v>3</v>
      </c>
    </row>
    <row r="4" spans="1:26" x14ac:dyDescent="0.25">
      <c r="A4" t="str" cm="1">
        <f t="array" ref="A4:C1003">_xlfn._xlws.FILTER(inei_project_pivot_productname__2[], ISNUMBER(SEARCH(A1,inei_project_pivot_productname__2[product_name])),"None")</f>
        <v>HUEVO DE GALLINA ROSADO A GRANEL</v>
      </c>
      <c r="B4" t="str">
        <v>Callao</v>
      </c>
      <c r="C4">
        <v>2</v>
      </c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X4" t="s">
        <v>3</v>
      </c>
      <c r="Y4" t="s">
        <v>418</v>
      </c>
      <c r="Z4">
        <v>3</v>
      </c>
    </row>
    <row r="5" spans="1:26" x14ac:dyDescent="0.25">
      <c r="A5" t="str">
        <v>LECHE EVAPORADA</v>
      </c>
      <c r="B5" t="str">
        <v>Callao</v>
      </c>
      <c r="C5">
        <v>3</v>
      </c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X5" t="s">
        <v>4</v>
      </c>
      <c r="Y5" t="s">
        <v>418</v>
      </c>
      <c r="Z5">
        <v>10</v>
      </c>
    </row>
    <row r="6" spans="1:26" x14ac:dyDescent="0.25">
      <c r="A6" t="str">
        <v>ARROZ CORRIENTE A GRANEL</v>
      </c>
      <c r="B6" t="str">
        <v>Callao</v>
      </c>
      <c r="C6">
        <v>3</v>
      </c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X6" t="s">
        <v>5</v>
      </c>
      <c r="Y6" t="s">
        <v>418</v>
      </c>
      <c r="Z6">
        <v>1</v>
      </c>
    </row>
    <row r="7" spans="1:26" x14ac:dyDescent="0.25">
      <c r="A7" t="str">
        <v>GALLINA EVISCERADA</v>
      </c>
      <c r="B7" t="str">
        <v>Callao</v>
      </c>
      <c r="C7">
        <v>10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X7" t="s">
        <v>6</v>
      </c>
      <c r="Y7" t="s">
        <v>418</v>
      </c>
      <c r="Z7">
        <v>0</v>
      </c>
    </row>
    <row r="8" spans="1:26" x14ac:dyDescent="0.25">
      <c r="A8" t="str">
        <v>TOMATE REDONDO</v>
      </c>
      <c r="B8" t="str">
        <v>Callao</v>
      </c>
      <c r="C8">
        <v>1</v>
      </c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X8" t="s">
        <v>7</v>
      </c>
      <c r="Y8" t="s">
        <v>418</v>
      </c>
      <c r="Z8">
        <v>0</v>
      </c>
    </row>
    <row r="9" spans="1:26" x14ac:dyDescent="0.25">
      <c r="A9" t="str">
        <v>CEBOLLA ROJA</v>
      </c>
      <c r="B9" t="str">
        <v>Callao</v>
      </c>
      <c r="C9">
        <v>0</v>
      </c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X9" t="s">
        <v>8</v>
      </c>
      <c r="Y9" t="s">
        <v>418</v>
      </c>
      <c r="Z9">
        <v>1</v>
      </c>
    </row>
    <row r="10" spans="1:26" x14ac:dyDescent="0.25">
      <c r="A10" t="str">
        <v>PAPA BLANCA</v>
      </c>
      <c r="B10" t="str">
        <v>Callao</v>
      </c>
      <c r="C10">
        <v>0</v>
      </c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X10" t="s">
        <v>9</v>
      </c>
      <c r="Y10" t="s">
        <v>418</v>
      </c>
      <c r="Z10">
        <v>1</v>
      </c>
    </row>
    <row r="11" spans="1:26" x14ac:dyDescent="0.25">
      <c r="A11" t="str">
        <v>ZAPALLO MACRE</v>
      </c>
      <c r="B11" t="str">
        <v>Callao</v>
      </c>
      <c r="C11">
        <v>1</v>
      </c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X11" t="s">
        <v>10</v>
      </c>
      <c r="Y11" t="s">
        <v>418</v>
      </c>
      <c r="Z11">
        <v>2</v>
      </c>
    </row>
    <row r="12" spans="1:26" x14ac:dyDescent="0.25">
      <c r="A12" t="str">
        <v>YUCA BLANCA</v>
      </c>
      <c r="B12" t="str">
        <v>Callao</v>
      </c>
      <c r="C12">
        <v>1</v>
      </c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X12" t="s">
        <v>11</v>
      </c>
      <c r="Y12" t="s">
        <v>418</v>
      </c>
      <c r="Z12">
        <v>1</v>
      </c>
    </row>
    <row r="13" spans="1:26" x14ac:dyDescent="0.25">
      <c r="A13" t="str">
        <v>PAPAYA COMUN</v>
      </c>
      <c r="B13" t="str">
        <v>Callao</v>
      </c>
      <c r="C13">
        <v>2</v>
      </c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X13" t="s">
        <v>12</v>
      </c>
      <c r="Y13" t="s">
        <v>418</v>
      </c>
      <c r="Z13">
        <v>1</v>
      </c>
    </row>
    <row r="14" spans="1:26" x14ac:dyDescent="0.25">
      <c r="A14" t="str">
        <v>NARANJA DE JUGO</v>
      </c>
      <c r="B14" t="str">
        <v>Callao</v>
      </c>
      <c r="C14">
        <v>1</v>
      </c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X14" t="s">
        <v>13</v>
      </c>
      <c r="Y14" t="s">
        <v>418</v>
      </c>
      <c r="Z14">
        <v>2</v>
      </c>
    </row>
    <row r="15" spans="1:26" x14ac:dyDescent="0.25">
      <c r="A15" t="str">
        <v>LIMON AGRIO</v>
      </c>
      <c r="B15" t="str">
        <v>Callao</v>
      </c>
      <c r="C15">
        <v>1</v>
      </c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X15" t="s">
        <v>14</v>
      </c>
      <c r="Y15" t="s">
        <v>418</v>
      </c>
      <c r="Z15">
        <v>13</v>
      </c>
    </row>
    <row r="16" spans="1:26" x14ac:dyDescent="0.25">
      <c r="A16" t="str">
        <v>AZUCAR RUBIA A GRANEL</v>
      </c>
      <c r="B16" t="str">
        <v>Callao</v>
      </c>
      <c r="C16">
        <v>2</v>
      </c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X16" t="s">
        <v>15</v>
      </c>
      <c r="Y16" t="s">
        <v>418</v>
      </c>
      <c r="Z16">
        <v>1</v>
      </c>
    </row>
    <row r="17" spans="1:26" x14ac:dyDescent="0.25">
      <c r="A17" t="str">
        <v>PEJE BLANCO FRESCO</v>
      </c>
      <c r="B17" t="str">
        <v>Callao</v>
      </c>
      <c r="C17">
        <v>13</v>
      </c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X17" t="s">
        <v>16</v>
      </c>
      <c r="Y17" t="s">
        <v>418</v>
      </c>
      <c r="Z17">
        <v>1</v>
      </c>
    </row>
    <row r="18" spans="1:26" x14ac:dyDescent="0.25">
      <c r="A18" t="str">
        <v>CAFE INSTANTANEO ENVASADO</v>
      </c>
      <c r="B18" t="str">
        <v>Callao</v>
      </c>
      <c r="C18">
        <v>1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X18" t="s">
        <v>17</v>
      </c>
      <c r="Y18" t="s">
        <v>418</v>
      </c>
      <c r="Z18">
        <v>2</v>
      </c>
    </row>
    <row r="19" spans="1:26" x14ac:dyDescent="0.25">
      <c r="A19" t="str">
        <v>PLATANO DE SEDA</v>
      </c>
      <c r="B19" t="str">
        <v>Callao</v>
      </c>
      <c r="C19">
        <v>1</v>
      </c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X19" t="s">
        <v>18</v>
      </c>
      <c r="Y19" t="s">
        <v>418</v>
      </c>
      <c r="Z19">
        <v>1</v>
      </c>
    </row>
    <row r="20" spans="1:26" x14ac:dyDescent="0.25">
      <c r="A20" t="str">
        <v>UVA NEGRA</v>
      </c>
      <c r="B20" t="str">
        <v>Callao</v>
      </c>
      <c r="C20">
        <v>2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X20" t="s">
        <v>19</v>
      </c>
      <c r="Y20" t="s">
        <v>418</v>
      </c>
      <c r="Z20">
        <v>1</v>
      </c>
    </row>
    <row r="21" spans="1:26" x14ac:dyDescent="0.25">
      <c r="A21" t="str">
        <v>TOSTADA A GRANEL</v>
      </c>
      <c r="B21" t="str">
        <v>Callao</v>
      </c>
      <c r="C21">
        <v>1</v>
      </c>
      <c r="D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X21" t="s">
        <v>20</v>
      </c>
      <c r="Y21" t="s">
        <v>418</v>
      </c>
      <c r="Z21">
        <v>1</v>
      </c>
    </row>
    <row r="22" spans="1:26" x14ac:dyDescent="0.25">
      <c r="A22" t="str">
        <v>QUESO FRESCO VACA</v>
      </c>
      <c r="B22" t="str">
        <v>Callao</v>
      </c>
      <c r="C22">
        <v>1</v>
      </c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X22" t="s">
        <v>21</v>
      </c>
      <c r="Y22" t="s">
        <v>418</v>
      </c>
      <c r="Z22">
        <v>1</v>
      </c>
    </row>
    <row r="23" spans="1:26" x14ac:dyDescent="0.25">
      <c r="A23" t="str">
        <v>AJI PIMIENTO</v>
      </c>
      <c r="B23" t="str">
        <v>Callao</v>
      </c>
      <c r="C23">
        <v>1</v>
      </c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X23" t="s">
        <v>22</v>
      </c>
      <c r="Y23" t="s">
        <v>418</v>
      </c>
      <c r="Z23">
        <v>0</v>
      </c>
    </row>
    <row r="24" spans="1:26" x14ac:dyDescent="0.25">
      <c r="A24" t="str">
        <v>AJI ESCABECHE</v>
      </c>
      <c r="B24" t="str">
        <v>Callao</v>
      </c>
      <c r="C24">
        <v>1</v>
      </c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X24" t="s">
        <v>23</v>
      </c>
      <c r="Y24" t="s">
        <v>418</v>
      </c>
      <c r="Z24">
        <v>3</v>
      </c>
    </row>
    <row r="25" spans="1:26" x14ac:dyDescent="0.25">
      <c r="A25" t="str">
        <v>CULANTRO ENTERO</v>
      </c>
      <c r="B25" t="str">
        <v>Callao</v>
      </c>
      <c r="C25">
        <v>0</v>
      </c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X25" t="s">
        <v>24</v>
      </c>
      <c r="Y25" t="s">
        <v>418</v>
      </c>
      <c r="Z25">
        <v>1</v>
      </c>
    </row>
    <row r="26" spans="1:26" x14ac:dyDescent="0.25">
      <c r="A26" t="str">
        <v>PI A GOLDEN</v>
      </c>
      <c r="B26" t="str">
        <v>Callao</v>
      </c>
      <c r="C26">
        <v>3</v>
      </c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X26" t="s">
        <v>25</v>
      </c>
      <c r="Y26" t="s">
        <v>418</v>
      </c>
      <c r="Z26">
        <v>3</v>
      </c>
    </row>
    <row r="27" spans="1:26" x14ac:dyDescent="0.25">
      <c r="A27" t="str">
        <v>AJINOMOTO ENVASADO</v>
      </c>
      <c r="B27" t="str">
        <v>Callao</v>
      </c>
      <c r="C27">
        <v>1</v>
      </c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X27" t="s">
        <v>26</v>
      </c>
      <c r="Y27" t="s">
        <v>418</v>
      </c>
      <c r="Z27">
        <v>1</v>
      </c>
    </row>
    <row r="28" spans="1:26" x14ac:dyDescent="0.25">
      <c r="A28" t="str">
        <v>PALTA CRIOLLA</v>
      </c>
      <c r="B28" t="str">
        <v>Callao</v>
      </c>
      <c r="C28">
        <v>3</v>
      </c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X28" t="s">
        <v>27</v>
      </c>
      <c r="Y28" t="s">
        <v>418</v>
      </c>
      <c r="Z28">
        <v>2</v>
      </c>
    </row>
    <row r="29" spans="1:26" x14ac:dyDescent="0.25">
      <c r="A29" t="str">
        <v>PAN VARIADO O COMUN</v>
      </c>
      <c r="B29" t="str">
        <v>Callao</v>
      </c>
      <c r="C29">
        <v>1</v>
      </c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X29" t="s">
        <v>28</v>
      </c>
      <c r="Y29" t="s">
        <v>418</v>
      </c>
      <c r="Z29">
        <v>5</v>
      </c>
    </row>
    <row r="30" spans="1:26" x14ac:dyDescent="0.25">
      <c r="A30" t="str">
        <v>TAMAL VERDE POLLO SERVIDO</v>
      </c>
      <c r="B30" t="str">
        <v>Callao</v>
      </c>
      <c r="C30">
        <v>2</v>
      </c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X30" t="s">
        <v>29</v>
      </c>
      <c r="Y30" t="s">
        <v>418</v>
      </c>
      <c r="Z30">
        <v>2</v>
      </c>
    </row>
    <row r="31" spans="1:26" x14ac:dyDescent="0.25">
      <c r="A31" t="str">
        <v>ACEITE VEGETAL ENVASADO</v>
      </c>
      <c r="B31" t="str">
        <v>Callao</v>
      </c>
      <c r="C31">
        <v>5</v>
      </c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X31" t="s">
        <v>30</v>
      </c>
      <c r="Y31" t="s">
        <v>418</v>
      </c>
      <c r="Z31">
        <v>0</v>
      </c>
    </row>
    <row r="32" spans="1:26" x14ac:dyDescent="0.25">
      <c r="A32" t="str">
        <v>AJO ENTERO PELADO</v>
      </c>
      <c r="B32" t="str">
        <v>Callao</v>
      </c>
      <c r="C32">
        <v>2</v>
      </c>
      <c r="X32" t="s">
        <v>31</v>
      </c>
      <c r="Y32" t="s">
        <v>418</v>
      </c>
      <c r="Z32">
        <v>7</v>
      </c>
    </row>
    <row r="33" spans="1:26" x14ac:dyDescent="0.25">
      <c r="A33" t="str">
        <v>CEBOLLA CHINA</v>
      </c>
      <c r="B33" t="str">
        <v>Callao</v>
      </c>
      <c r="C33">
        <v>0</v>
      </c>
      <c r="X33" t="s">
        <v>32</v>
      </c>
      <c r="Y33" t="s">
        <v>418</v>
      </c>
      <c r="Z33">
        <v>1</v>
      </c>
    </row>
    <row r="34" spans="1:26" x14ac:dyDescent="0.25">
      <c r="A34" t="str">
        <v>COSTILLA DE CABRITO</v>
      </c>
      <c r="B34" t="str">
        <v>Callao</v>
      </c>
      <c r="C34">
        <v>7</v>
      </c>
      <c r="X34" t="s">
        <v>9</v>
      </c>
      <c r="Y34" t="s">
        <v>418</v>
      </c>
      <c r="Z34">
        <v>2</v>
      </c>
    </row>
    <row r="35" spans="1:26" x14ac:dyDescent="0.25">
      <c r="A35" t="str">
        <v>FRESA</v>
      </c>
      <c r="B35" t="str">
        <v>Callao</v>
      </c>
      <c r="C35">
        <v>1</v>
      </c>
      <c r="X35" t="s">
        <v>33</v>
      </c>
      <c r="Y35" t="s">
        <v>418</v>
      </c>
      <c r="Z35">
        <v>2</v>
      </c>
    </row>
    <row r="36" spans="1:26" x14ac:dyDescent="0.25">
      <c r="A36" t="str">
        <v>YUCA BLANCA</v>
      </c>
      <c r="B36" t="str">
        <v>Callao</v>
      </c>
      <c r="C36">
        <v>2</v>
      </c>
      <c r="X36" t="s">
        <v>14</v>
      </c>
      <c r="Y36" t="s">
        <v>418</v>
      </c>
      <c r="Z36">
        <v>14</v>
      </c>
    </row>
    <row r="37" spans="1:26" x14ac:dyDescent="0.25">
      <c r="A37" t="str">
        <v>MANGO DE PLANTA</v>
      </c>
      <c r="B37" t="str">
        <v>Callao</v>
      </c>
      <c r="C37">
        <v>2</v>
      </c>
      <c r="X37" t="s">
        <v>6</v>
      </c>
      <c r="Y37" t="s">
        <v>418</v>
      </c>
      <c r="Z37">
        <v>1</v>
      </c>
    </row>
    <row r="38" spans="1:26" x14ac:dyDescent="0.25">
      <c r="A38" t="str">
        <v>PEJE BLANCO FRESCO</v>
      </c>
      <c r="B38" t="str">
        <v>Callao</v>
      </c>
      <c r="C38">
        <v>14</v>
      </c>
      <c r="X38" t="s">
        <v>34</v>
      </c>
      <c r="Y38" t="s">
        <v>418</v>
      </c>
      <c r="Z38">
        <v>1</v>
      </c>
    </row>
    <row r="39" spans="1:26" x14ac:dyDescent="0.25">
      <c r="A39" t="str">
        <v>CEBOLLA ROJA</v>
      </c>
      <c r="B39" t="str">
        <v>Callao</v>
      </c>
      <c r="C39">
        <v>1</v>
      </c>
      <c r="X39" t="s">
        <v>35</v>
      </c>
      <c r="Y39" t="s">
        <v>418</v>
      </c>
      <c r="Z39">
        <v>14</v>
      </c>
    </row>
    <row r="40" spans="1:26" x14ac:dyDescent="0.25">
      <c r="A40" t="str">
        <v>SAL YODADA DE MESA</v>
      </c>
      <c r="B40" t="str">
        <v>Callao</v>
      </c>
      <c r="C40">
        <v>1</v>
      </c>
      <c r="X40" t="s">
        <v>36</v>
      </c>
      <c r="Y40" t="s">
        <v>418</v>
      </c>
      <c r="Z40">
        <v>3</v>
      </c>
    </row>
    <row r="41" spans="1:26" x14ac:dyDescent="0.25">
      <c r="A41" t="str">
        <v>COSTILLA DE CHANCHO</v>
      </c>
      <c r="B41" t="str">
        <v>Callao</v>
      </c>
      <c r="C41">
        <v>14</v>
      </c>
      <c r="X41" t="s">
        <v>37</v>
      </c>
      <c r="Y41" t="s">
        <v>418</v>
      </c>
      <c r="Z41">
        <v>1</v>
      </c>
    </row>
    <row r="42" spans="1:26" x14ac:dyDescent="0.25">
      <c r="A42" t="str">
        <v>FREJOL BAYO A GRANEL</v>
      </c>
      <c r="B42" t="str">
        <v>Callao</v>
      </c>
      <c r="C42">
        <v>3</v>
      </c>
      <c r="X42" t="s">
        <v>38</v>
      </c>
      <c r="Y42" t="s">
        <v>418</v>
      </c>
      <c r="Z42">
        <v>0</v>
      </c>
    </row>
    <row r="43" spans="1:26" x14ac:dyDescent="0.25">
      <c r="A43" t="str">
        <v>PLATANO VERDE</v>
      </c>
      <c r="B43" t="str">
        <v>Callao</v>
      </c>
      <c r="C43">
        <v>1</v>
      </c>
      <c r="X43" t="s">
        <v>11</v>
      </c>
      <c r="Y43" t="s">
        <v>418</v>
      </c>
      <c r="Z43">
        <v>2</v>
      </c>
    </row>
    <row r="44" spans="1:26" x14ac:dyDescent="0.25">
      <c r="A44" t="str">
        <v>HIERBA BUENA</v>
      </c>
      <c r="B44" t="str">
        <v>Callao</v>
      </c>
      <c r="C44">
        <v>0</v>
      </c>
      <c r="X44" t="s">
        <v>39</v>
      </c>
      <c r="Y44" t="s">
        <v>418</v>
      </c>
      <c r="Z44">
        <v>2</v>
      </c>
    </row>
    <row r="45" spans="1:26" x14ac:dyDescent="0.25">
      <c r="A45" t="str">
        <v>NARANJA DE JUGO</v>
      </c>
      <c r="B45" t="str">
        <v>Callao</v>
      </c>
      <c r="C45">
        <v>2</v>
      </c>
      <c r="X45" t="s">
        <v>40</v>
      </c>
      <c r="Y45" t="s">
        <v>418</v>
      </c>
      <c r="Z45">
        <v>2</v>
      </c>
    </row>
    <row r="46" spans="1:26" x14ac:dyDescent="0.25">
      <c r="A46" t="str">
        <v>PAPEL HIGIENICO</v>
      </c>
      <c r="B46" t="str">
        <v>Callao</v>
      </c>
      <c r="C46">
        <v>2</v>
      </c>
      <c r="X46" t="s">
        <v>41</v>
      </c>
      <c r="Y46" t="s">
        <v>418</v>
      </c>
      <c r="Z46">
        <v>1</v>
      </c>
    </row>
    <row r="47" spans="1:26" x14ac:dyDescent="0.25">
      <c r="A47" t="str">
        <v>MAYONESA ENVASADA</v>
      </c>
      <c r="B47" t="str">
        <v>Callao</v>
      </c>
      <c r="C47">
        <v>2</v>
      </c>
      <c r="X47" t="s">
        <v>42</v>
      </c>
      <c r="Y47" t="s">
        <v>418</v>
      </c>
      <c r="Z47">
        <v>1</v>
      </c>
    </row>
    <row r="48" spans="1:26" x14ac:dyDescent="0.25">
      <c r="A48" t="str">
        <v>JAMONADA ENVASADA</v>
      </c>
      <c r="B48" t="str">
        <v>Callao</v>
      </c>
      <c r="C48">
        <v>1</v>
      </c>
      <c r="X48" t="s">
        <v>43</v>
      </c>
      <c r="Y48" t="s">
        <v>418</v>
      </c>
      <c r="Z48">
        <v>15</v>
      </c>
    </row>
    <row r="49" spans="1:26" x14ac:dyDescent="0.25">
      <c r="A49" t="str">
        <v>AVENA ENVASADA</v>
      </c>
      <c r="B49" t="str">
        <v>Callao</v>
      </c>
      <c r="C49">
        <v>1</v>
      </c>
      <c r="X49" t="s">
        <v>44</v>
      </c>
      <c r="Y49" t="s">
        <v>418</v>
      </c>
      <c r="Z49">
        <v>15</v>
      </c>
    </row>
    <row r="50" spans="1:26" x14ac:dyDescent="0.25">
      <c r="A50" t="str">
        <v>ARROZ CON PATO Y PAPA A LA HUANCAINA</v>
      </c>
      <c r="B50" t="str">
        <v>Callao</v>
      </c>
      <c r="C50">
        <v>15</v>
      </c>
      <c r="X50" t="s">
        <v>45</v>
      </c>
      <c r="Y50" t="s">
        <v>418</v>
      </c>
      <c r="Z50">
        <v>10</v>
      </c>
    </row>
    <row r="51" spans="1:26" x14ac:dyDescent="0.25">
      <c r="A51" t="str">
        <v>ARROZ COPUS DE CHANCO SALSA CRIOLLA</v>
      </c>
      <c r="B51" t="str">
        <v>Callao</v>
      </c>
      <c r="C51">
        <v>15</v>
      </c>
      <c r="X51" t="s">
        <v>46</v>
      </c>
      <c r="Y51" t="s">
        <v>418</v>
      </c>
      <c r="Z51">
        <v>25</v>
      </c>
    </row>
    <row r="52" spans="1:26" x14ac:dyDescent="0.25">
      <c r="A52" t="str">
        <v>CHICHA MORADA SERVIDA</v>
      </c>
      <c r="B52" t="str">
        <v>Callao</v>
      </c>
      <c r="C52">
        <v>10</v>
      </c>
      <c r="X52" t="s">
        <v>47</v>
      </c>
      <c r="Y52" t="s">
        <v>418</v>
      </c>
      <c r="Z52">
        <v>8</v>
      </c>
    </row>
    <row r="53" spans="1:26" x14ac:dyDescent="0.25">
      <c r="A53" t="str">
        <v>POLLO A LA BRASA</v>
      </c>
      <c r="B53" t="str">
        <v>Callao</v>
      </c>
      <c r="C53">
        <v>25</v>
      </c>
      <c r="X53" t="s">
        <v>48</v>
      </c>
      <c r="Y53" t="s">
        <v>418</v>
      </c>
      <c r="Z53">
        <v>350</v>
      </c>
    </row>
    <row r="54" spans="1:26" x14ac:dyDescent="0.25">
      <c r="A54" t="str">
        <v>GASEOSA RETORNABLE SERVIDA</v>
      </c>
      <c r="B54" t="str">
        <v>Callao</v>
      </c>
      <c r="C54">
        <v>8</v>
      </c>
      <c r="X54" t="s">
        <v>49</v>
      </c>
      <c r="Y54" t="s">
        <v>418</v>
      </c>
      <c r="Z54">
        <v>60</v>
      </c>
    </row>
    <row r="55" spans="1:26" x14ac:dyDescent="0.25">
      <c r="A55" t="str">
        <v>ARBOL NAVIDE O</v>
      </c>
      <c r="B55" t="str">
        <v>Callao</v>
      </c>
      <c r="C55">
        <v>350</v>
      </c>
      <c r="X55" t="s">
        <v>50</v>
      </c>
      <c r="Y55" t="s">
        <v>418</v>
      </c>
      <c r="Z55">
        <v>40</v>
      </c>
    </row>
    <row r="56" spans="1:26" x14ac:dyDescent="0.25">
      <c r="A56" t="str">
        <v>ADORNOS NAVIDE OS</v>
      </c>
      <c r="B56" t="str">
        <v>Callao</v>
      </c>
      <c r="C56">
        <v>60</v>
      </c>
      <c r="X56" t="s">
        <v>51</v>
      </c>
      <c r="Y56" t="s">
        <v>418</v>
      </c>
      <c r="Z56">
        <v>25</v>
      </c>
    </row>
    <row r="57" spans="1:26" x14ac:dyDescent="0.25">
      <c r="A57" t="str">
        <v>BOMBITAS NAVIDE AS</v>
      </c>
      <c r="B57" t="str">
        <v>Callao</v>
      </c>
      <c r="C57">
        <v>40</v>
      </c>
      <c r="X57" t="s">
        <v>52</v>
      </c>
      <c r="Y57" t="s">
        <v>418</v>
      </c>
      <c r="Z57">
        <v>28</v>
      </c>
    </row>
    <row r="58" spans="1:26" x14ac:dyDescent="0.25">
      <c r="A58" t="str">
        <v>CORONA NAVIDE A</v>
      </c>
      <c r="B58" t="str">
        <v>Callao</v>
      </c>
      <c r="C58">
        <v>25</v>
      </c>
      <c r="X58" t="s">
        <v>53</v>
      </c>
      <c r="Y58" t="s">
        <v>418</v>
      </c>
      <c r="Z58">
        <v>10</v>
      </c>
    </row>
    <row r="59" spans="1:26" x14ac:dyDescent="0.25">
      <c r="A59" t="str">
        <v>GUIRNALDA NAVIDE A</v>
      </c>
      <c r="B59" t="str">
        <v>Callao</v>
      </c>
      <c r="C59">
        <v>28</v>
      </c>
      <c r="X59" t="s">
        <v>54</v>
      </c>
      <c r="Y59" t="s">
        <v>418</v>
      </c>
      <c r="Z59">
        <v>75</v>
      </c>
    </row>
    <row r="60" spans="1:26" x14ac:dyDescent="0.25">
      <c r="A60" t="str">
        <v>EXTENSION DE CORRIENTE</v>
      </c>
      <c r="B60" t="str">
        <v>Callao</v>
      </c>
      <c r="C60">
        <v>10</v>
      </c>
      <c r="X60" t="s">
        <v>55</v>
      </c>
      <c r="Y60" t="s">
        <v>418</v>
      </c>
      <c r="Z60">
        <v>10</v>
      </c>
    </row>
    <row r="61" spans="1:26" x14ac:dyDescent="0.25">
      <c r="A61" t="str">
        <v>PINTURA</v>
      </c>
      <c r="B61" t="str">
        <v>Callao</v>
      </c>
      <c r="C61">
        <v>75</v>
      </c>
      <c r="X61" t="s">
        <v>56</v>
      </c>
      <c r="Y61" t="s">
        <v>418</v>
      </c>
      <c r="Z61">
        <v>15</v>
      </c>
    </row>
    <row r="62" spans="1:26" x14ac:dyDescent="0.25">
      <c r="A62" t="str">
        <v>RODILLO PARA PINTAR</v>
      </c>
      <c r="B62" t="str">
        <v>Callao</v>
      </c>
      <c r="C62">
        <v>10</v>
      </c>
      <c r="X62" t="s">
        <v>57</v>
      </c>
      <c r="Y62" t="s">
        <v>418</v>
      </c>
      <c r="Z62">
        <v>15</v>
      </c>
    </row>
    <row r="63" spans="1:26" x14ac:dyDescent="0.25">
      <c r="A63" t="str">
        <v>RAMO DE FLORES NATURALES</v>
      </c>
      <c r="B63" t="str">
        <v>Callao</v>
      </c>
      <c r="C63">
        <v>15</v>
      </c>
      <c r="X63" t="s">
        <v>58</v>
      </c>
      <c r="Y63" t="s">
        <v>418</v>
      </c>
      <c r="Z63">
        <v>150</v>
      </c>
    </row>
    <row r="64" spans="1:26" x14ac:dyDescent="0.25">
      <c r="A64" t="str">
        <v>CELEBRACION DE REZO</v>
      </c>
      <c r="B64" t="str">
        <v>Callao</v>
      </c>
      <c r="C64">
        <v>15</v>
      </c>
      <c r="X64" t="s">
        <v>59</v>
      </c>
      <c r="Y64" t="s">
        <v>418</v>
      </c>
      <c r="Z64">
        <v>13</v>
      </c>
    </row>
    <row r="65" spans="1:26" x14ac:dyDescent="0.25">
      <c r="A65" t="str">
        <v>MANO DE OBRA PINTOR</v>
      </c>
      <c r="B65" t="str">
        <v>Callao</v>
      </c>
      <c r="C65">
        <v>150</v>
      </c>
      <c r="X65" t="s">
        <v>60</v>
      </c>
      <c r="Y65" t="s">
        <v>418</v>
      </c>
      <c r="Z65">
        <v>10</v>
      </c>
    </row>
    <row r="66" spans="1:26" x14ac:dyDescent="0.25">
      <c r="A66" t="str">
        <v>SIERRA FRESCA</v>
      </c>
      <c r="B66" t="str">
        <v>Callao</v>
      </c>
      <c r="C66">
        <v>13</v>
      </c>
      <c r="X66" t="s">
        <v>21</v>
      </c>
      <c r="Y66" t="s">
        <v>418</v>
      </c>
      <c r="Z66">
        <v>0</v>
      </c>
    </row>
    <row r="67" spans="1:26" x14ac:dyDescent="0.25">
      <c r="A67" t="str">
        <v>POLLO EVISCERADO</v>
      </c>
      <c r="B67" t="str">
        <v>Callao</v>
      </c>
      <c r="C67">
        <v>10</v>
      </c>
      <c r="X67" t="s">
        <v>61</v>
      </c>
      <c r="Y67" t="s">
        <v>418</v>
      </c>
      <c r="Z67">
        <v>1</v>
      </c>
    </row>
    <row r="68" spans="1:26" x14ac:dyDescent="0.25">
      <c r="A68" t="str">
        <v>AJI ESCABECHE</v>
      </c>
      <c r="B68" t="str">
        <v>Callao</v>
      </c>
      <c r="C68">
        <v>0</v>
      </c>
      <c r="X68" t="s">
        <v>7</v>
      </c>
      <c r="Y68" t="s">
        <v>418</v>
      </c>
      <c r="Z68">
        <v>1</v>
      </c>
    </row>
    <row r="69" spans="1:26" x14ac:dyDescent="0.25">
      <c r="A69" t="str">
        <v>LECHUGA CRIOLLA</v>
      </c>
      <c r="B69" t="str">
        <v>Callao</v>
      </c>
      <c r="C69">
        <v>1</v>
      </c>
      <c r="X69" t="s">
        <v>1</v>
      </c>
      <c r="Y69" t="s">
        <v>418</v>
      </c>
      <c r="Z69">
        <v>1</v>
      </c>
    </row>
    <row r="70" spans="1:26" x14ac:dyDescent="0.25">
      <c r="A70" t="str">
        <v>PAPA BLANCA</v>
      </c>
      <c r="B70" t="str">
        <v>Callao</v>
      </c>
      <c r="C70">
        <v>1</v>
      </c>
      <c r="X70" t="s">
        <v>62</v>
      </c>
      <c r="Y70" t="s">
        <v>418</v>
      </c>
      <c r="Z70">
        <v>3</v>
      </c>
    </row>
    <row r="71" spans="1:26" x14ac:dyDescent="0.25">
      <c r="A71" t="str">
        <v>HUEVO DE GALLINA ROSADO A GRANEL</v>
      </c>
      <c r="B71" t="str">
        <v>Callao</v>
      </c>
      <c r="C71">
        <v>1</v>
      </c>
      <c r="X71" t="s">
        <v>63</v>
      </c>
      <c r="Y71" t="s">
        <v>418</v>
      </c>
      <c r="Z71">
        <v>3</v>
      </c>
    </row>
    <row r="72" spans="1:26" x14ac:dyDescent="0.25">
      <c r="A72" t="str">
        <v>ACEITUNA NEGRA</v>
      </c>
      <c r="B72" t="str">
        <v>Callao</v>
      </c>
      <c r="C72">
        <v>3</v>
      </c>
      <c r="X72" t="s">
        <v>64</v>
      </c>
      <c r="Y72" t="s">
        <v>418</v>
      </c>
      <c r="Z72">
        <v>4</v>
      </c>
    </row>
    <row r="73" spans="1:26" x14ac:dyDescent="0.25">
      <c r="A73" t="str">
        <v>GRANADILLA</v>
      </c>
      <c r="B73" t="str">
        <v>Callao</v>
      </c>
      <c r="C73">
        <v>3</v>
      </c>
      <c r="X73" t="s">
        <v>65</v>
      </c>
      <c r="Y73" t="s">
        <v>418</v>
      </c>
      <c r="Z73">
        <v>15</v>
      </c>
    </row>
    <row r="74" spans="1:26" x14ac:dyDescent="0.25">
      <c r="A74" t="str">
        <v>JABON PARA LAVAR ROPA</v>
      </c>
      <c r="B74" t="str">
        <v>Callao</v>
      </c>
      <c r="C74">
        <v>4</v>
      </c>
      <c r="X74" t="s">
        <v>66</v>
      </c>
      <c r="Y74" t="s">
        <v>418</v>
      </c>
      <c r="Z74">
        <v>2</v>
      </c>
    </row>
    <row r="75" spans="1:26" x14ac:dyDescent="0.25">
      <c r="A75" t="str">
        <v>CABRILLA FRESCA</v>
      </c>
      <c r="B75" t="str">
        <v>Callao</v>
      </c>
      <c r="C75">
        <v>15</v>
      </c>
      <c r="X75" t="s">
        <v>67</v>
      </c>
      <c r="Y75" t="s">
        <v>418</v>
      </c>
      <c r="Z75">
        <v>0</v>
      </c>
    </row>
    <row r="76" spans="1:26" x14ac:dyDescent="0.25">
      <c r="A76" t="str">
        <v>FIDEO TALLARIN ENVASADO</v>
      </c>
      <c r="B76" t="str">
        <v>Callao</v>
      </c>
      <c r="C76">
        <v>2</v>
      </c>
      <c r="X76" t="s">
        <v>68</v>
      </c>
      <c r="Y76" t="s">
        <v>418</v>
      </c>
      <c r="Z76">
        <v>0</v>
      </c>
    </row>
    <row r="77" spans="1:26" x14ac:dyDescent="0.25">
      <c r="A77" t="str">
        <v>ALBAHACA ENTERA</v>
      </c>
      <c r="B77" t="str">
        <v>Callao</v>
      </c>
      <c r="C77">
        <v>0</v>
      </c>
      <c r="X77" t="s">
        <v>19</v>
      </c>
      <c r="Y77" t="s">
        <v>418</v>
      </c>
      <c r="Z77">
        <v>2</v>
      </c>
    </row>
    <row r="78" spans="1:26" x14ac:dyDescent="0.25">
      <c r="A78" t="str">
        <v>HUACATAY ENTERO</v>
      </c>
      <c r="B78" t="str">
        <v>Callao</v>
      </c>
      <c r="C78">
        <v>0</v>
      </c>
      <c r="X78" t="s">
        <v>69</v>
      </c>
      <c r="Y78" t="s">
        <v>418</v>
      </c>
      <c r="Z78">
        <v>1</v>
      </c>
    </row>
    <row r="79" spans="1:26" x14ac:dyDescent="0.25">
      <c r="A79" t="str">
        <v>QUESO FRESCO VACA</v>
      </c>
      <c r="B79" t="str">
        <v>Callao</v>
      </c>
      <c r="C79">
        <v>2</v>
      </c>
      <c r="X79" t="s">
        <v>13</v>
      </c>
      <c r="Y79" t="s">
        <v>418</v>
      </c>
      <c r="Z79">
        <v>1</v>
      </c>
    </row>
    <row r="80" spans="1:26" x14ac:dyDescent="0.25">
      <c r="A80" t="str">
        <v>GALLETA DE SODA ENVASADA</v>
      </c>
      <c r="B80" t="str">
        <v>Callao</v>
      </c>
      <c r="C80">
        <v>1</v>
      </c>
      <c r="X80" t="s">
        <v>26</v>
      </c>
      <c r="Y80" t="s">
        <v>418</v>
      </c>
      <c r="Z80">
        <v>0</v>
      </c>
    </row>
    <row r="81" spans="1:26" x14ac:dyDescent="0.25">
      <c r="A81" t="str">
        <v>AZUCAR RUBIA A GRANEL</v>
      </c>
      <c r="B81" t="str">
        <v>Callao</v>
      </c>
      <c r="C81">
        <v>1</v>
      </c>
      <c r="X81" t="s">
        <v>63</v>
      </c>
      <c r="Y81" t="s">
        <v>418</v>
      </c>
      <c r="Z81">
        <v>2</v>
      </c>
    </row>
    <row r="82" spans="1:26" x14ac:dyDescent="0.25">
      <c r="A82" t="str">
        <v>PAN VARIADO O COMUN</v>
      </c>
      <c r="B82" t="str">
        <v>Callao</v>
      </c>
      <c r="C82">
        <v>0</v>
      </c>
      <c r="X82" t="s">
        <v>70</v>
      </c>
      <c r="Y82" t="s">
        <v>418</v>
      </c>
      <c r="Z82">
        <v>6</v>
      </c>
    </row>
    <row r="83" spans="1:26" x14ac:dyDescent="0.25">
      <c r="A83" t="str">
        <v>GRANADILLA</v>
      </c>
      <c r="B83" t="str">
        <v>Callao</v>
      </c>
      <c r="C83">
        <v>2</v>
      </c>
      <c r="X83" t="s">
        <v>71</v>
      </c>
      <c r="Y83" t="s">
        <v>418</v>
      </c>
      <c r="Z83">
        <v>4</v>
      </c>
    </row>
    <row r="84" spans="1:26" x14ac:dyDescent="0.25">
      <c r="A84" t="str">
        <v>ALMUERZO MENU</v>
      </c>
      <c r="B84" t="str">
        <v>Callao</v>
      </c>
      <c r="C84">
        <v>6</v>
      </c>
      <c r="X84" t="s">
        <v>72</v>
      </c>
      <c r="Y84" t="s">
        <v>418</v>
      </c>
      <c r="Z84">
        <v>1</v>
      </c>
    </row>
    <row r="85" spans="1:26" x14ac:dyDescent="0.25">
      <c r="A85" t="str">
        <v>PASAJE EN MOTOTAXI</v>
      </c>
      <c r="B85" t="str">
        <v>Callao</v>
      </c>
      <c r="C85">
        <v>4</v>
      </c>
      <c r="X85" t="s">
        <v>70</v>
      </c>
      <c r="Y85" t="s">
        <v>418</v>
      </c>
      <c r="Z85">
        <v>12</v>
      </c>
    </row>
    <row r="86" spans="1:26" x14ac:dyDescent="0.25">
      <c r="A86" t="str">
        <v>GALLETA DE SODA A GRANEL</v>
      </c>
      <c r="B86" t="str">
        <v>Callao</v>
      </c>
      <c r="C86">
        <v>1</v>
      </c>
      <c r="X86" t="s">
        <v>42</v>
      </c>
      <c r="Y86" t="s">
        <v>418</v>
      </c>
      <c r="Z86">
        <v>3</v>
      </c>
    </row>
    <row r="87" spans="1:26" x14ac:dyDescent="0.25">
      <c r="A87" t="str">
        <v>ALMUERZO MENU</v>
      </c>
      <c r="B87" t="str">
        <v>Callao</v>
      </c>
      <c r="C87">
        <v>12</v>
      </c>
      <c r="X87" t="s">
        <v>60</v>
      </c>
      <c r="Y87" t="s">
        <v>418</v>
      </c>
      <c r="Z87">
        <v>4</v>
      </c>
    </row>
    <row r="88" spans="1:26" x14ac:dyDescent="0.25">
      <c r="A88" t="str">
        <v>AVENA ENVASADA</v>
      </c>
      <c r="B88" t="str">
        <v>Callao</v>
      </c>
      <c r="C88">
        <v>3</v>
      </c>
      <c r="X88" t="s">
        <v>73</v>
      </c>
      <c r="Y88" t="s">
        <v>418</v>
      </c>
      <c r="Z88">
        <v>1</v>
      </c>
    </row>
    <row r="89" spans="1:26" x14ac:dyDescent="0.25">
      <c r="A89" t="str">
        <v>POLLO EVISCERADO</v>
      </c>
      <c r="B89" t="str">
        <v>Callao</v>
      </c>
      <c r="C89">
        <v>4</v>
      </c>
      <c r="X89" t="s">
        <v>12</v>
      </c>
      <c r="Y89" t="s">
        <v>418</v>
      </c>
      <c r="Z89">
        <v>0</v>
      </c>
    </row>
    <row r="90" spans="1:26" x14ac:dyDescent="0.25">
      <c r="A90" t="str">
        <v>AGUA DE MESA SIN GAS</v>
      </c>
      <c r="B90" t="str">
        <v>Callao</v>
      </c>
      <c r="C90">
        <v>1</v>
      </c>
      <c r="X90" t="s">
        <v>24</v>
      </c>
      <c r="Y90" t="s">
        <v>418</v>
      </c>
      <c r="Z90">
        <v>0</v>
      </c>
    </row>
    <row r="91" spans="1:26" x14ac:dyDescent="0.25">
      <c r="A91" t="str">
        <v>LIMON AGRIO</v>
      </c>
      <c r="B91" t="str">
        <v>Callao</v>
      </c>
      <c r="C91">
        <v>0</v>
      </c>
      <c r="X91" t="s">
        <v>74</v>
      </c>
      <c r="Y91" t="s">
        <v>418</v>
      </c>
      <c r="Z91">
        <v>3</v>
      </c>
    </row>
    <row r="92" spans="1:26" x14ac:dyDescent="0.25">
      <c r="A92" t="str">
        <v>AJINOMOTO ENVASADO</v>
      </c>
      <c r="B92" t="str">
        <v>Callao</v>
      </c>
      <c r="C92">
        <v>0</v>
      </c>
      <c r="X92" t="s">
        <v>75</v>
      </c>
      <c r="Y92" t="s">
        <v>418</v>
      </c>
      <c r="Z92">
        <v>3</v>
      </c>
    </row>
    <row r="93" spans="1:26" x14ac:dyDescent="0.25">
      <c r="A93" t="str">
        <v>SANDWICH DE POLLO</v>
      </c>
      <c r="B93" t="str">
        <v>Callao</v>
      </c>
      <c r="C93">
        <v>3</v>
      </c>
      <c r="X93" t="s">
        <v>76</v>
      </c>
      <c r="Y93" t="s">
        <v>418</v>
      </c>
      <c r="Z93">
        <v>1</v>
      </c>
    </row>
    <row r="94" spans="1:26" x14ac:dyDescent="0.25">
      <c r="A94" t="str">
        <v>GASEOSA NO RETORNABLE</v>
      </c>
      <c r="B94" t="str">
        <v>Callao</v>
      </c>
      <c r="C94">
        <v>3</v>
      </c>
      <c r="X94" t="s">
        <v>5</v>
      </c>
      <c r="Y94" t="s">
        <v>418</v>
      </c>
      <c r="Z94">
        <v>0</v>
      </c>
    </row>
    <row r="95" spans="1:26" x14ac:dyDescent="0.25">
      <c r="A95" t="str">
        <v>CAMOTE MORADO</v>
      </c>
      <c r="B95" t="str">
        <v>Callao</v>
      </c>
      <c r="C95">
        <v>1</v>
      </c>
      <c r="X95" t="s">
        <v>70</v>
      </c>
      <c r="Y95" t="s">
        <v>418</v>
      </c>
      <c r="Z95">
        <v>8</v>
      </c>
    </row>
    <row r="96" spans="1:26" x14ac:dyDescent="0.25">
      <c r="A96" t="str">
        <v>TOMATE REDONDO</v>
      </c>
      <c r="B96" t="str">
        <v>Callao</v>
      </c>
      <c r="C96">
        <v>0</v>
      </c>
      <c r="X96" t="s">
        <v>77</v>
      </c>
      <c r="Y96" t="s">
        <v>418</v>
      </c>
      <c r="Z96">
        <v>10</v>
      </c>
    </row>
    <row r="97" spans="1:26" x14ac:dyDescent="0.25">
      <c r="A97" t="str">
        <v>ALMUERZO MENU</v>
      </c>
      <c r="B97" t="str">
        <v>Callao</v>
      </c>
      <c r="C97">
        <v>8</v>
      </c>
      <c r="X97" t="s">
        <v>78</v>
      </c>
      <c r="Y97" t="s">
        <v>418</v>
      </c>
      <c r="Z97">
        <v>0</v>
      </c>
    </row>
    <row r="98" spans="1:26" x14ac:dyDescent="0.25">
      <c r="A98" t="str">
        <v>RECARGA VIRTUAL DE CELULAR</v>
      </c>
      <c r="B98" t="str">
        <v>Callao</v>
      </c>
      <c r="C98">
        <v>10</v>
      </c>
      <c r="X98" t="s">
        <v>79</v>
      </c>
      <c r="Y98" t="s">
        <v>418</v>
      </c>
      <c r="Z98">
        <v>3</v>
      </c>
    </row>
    <row r="99" spans="1:26" x14ac:dyDescent="0.25">
      <c r="A99" t="str">
        <v>TE FILTRANTE</v>
      </c>
      <c r="B99" t="str">
        <v>Callao</v>
      </c>
      <c r="C99">
        <v>0</v>
      </c>
      <c r="X99" t="s">
        <v>70</v>
      </c>
      <c r="Y99" t="s">
        <v>418</v>
      </c>
      <c r="Z99">
        <v>18</v>
      </c>
    </row>
    <row r="100" spans="1:26" x14ac:dyDescent="0.25">
      <c r="A100" t="str">
        <v>HUMITAS</v>
      </c>
      <c r="B100" t="str">
        <v>Callao</v>
      </c>
      <c r="C100">
        <v>3</v>
      </c>
      <c r="X100" t="s">
        <v>10</v>
      </c>
      <c r="Y100" t="s">
        <v>418</v>
      </c>
      <c r="Z100">
        <v>6</v>
      </c>
    </row>
    <row r="101" spans="1:26" x14ac:dyDescent="0.25">
      <c r="A101" t="str">
        <v>ALMUERZO MENU</v>
      </c>
      <c r="B101" t="str">
        <v>Callao</v>
      </c>
      <c r="C101">
        <v>18</v>
      </c>
      <c r="X101" t="s">
        <v>80</v>
      </c>
      <c r="Y101" t="s">
        <v>418</v>
      </c>
      <c r="Z101">
        <v>2</v>
      </c>
    </row>
    <row r="102" spans="1:26" x14ac:dyDescent="0.25">
      <c r="A102" t="str">
        <v>PAPAYA COMUN</v>
      </c>
      <c r="B102" t="str">
        <v>Callao</v>
      </c>
      <c r="C102">
        <v>6</v>
      </c>
      <c r="X102" t="s">
        <v>74</v>
      </c>
      <c r="Y102" t="s">
        <v>418</v>
      </c>
      <c r="Z102">
        <v>9</v>
      </c>
    </row>
    <row r="103" spans="1:26" x14ac:dyDescent="0.25">
      <c r="A103" t="str">
        <v>MANDARINA</v>
      </c>
      <c r="B103" t="str">
        <v>Callao</v>
      </c>
      <c r="C103">
        <v>2</v>
      </c>
      <c r="X103" t="s">
        <v>74</v>
      </c>
      <c r="Y103" t="s">
        <v>418</v>
      </c>
      <c r="Z103">
        <v>6</v>
      </c>
    </row>
    <row r="104" spans="1:26" x14ac:dyDescent="0.25">
      <c r="A104" t="str">
        <v>SANDWICH DE POLLO</v>
      </c>
      <c r="B104" t="str">
        <v>Callao</v>
      </c>
      <c r="C104">
        <v>9</v>
      </c>
      <c r="X104" t="s">
        <v>81</v>
      </c>
      <c r="Y104" t="s">
        <v>418</v>
      </c>
      <c r="Z104">
        <v>9</v>
      </c>
    </row>
    <row r="105" spans="1:26" x14ac:dyDescent="0.25">
      <c r="A105" t="str">
        <v>SANDWICH DE POLLO</v>
      </c>
      <c r="B105" t="str">
        <v>Callao</v>
      </c>
      <c r="C105">
        <v>6</v>
      </c>
      <c r="X105" t="s">
        <v>82</v>
      </c>
      <c r="Y105" t="s">
        <v>418</v>
      </c>
      <c r="Z105">
        <v>18</v>
      </c>
    </row>
    <row r="106" spans="1:26" x14ac:dyDescent="0.25">
      <c r="A106" t="str">
        <v>ARROZ CON TOLLITO Y CHICHA MORADA</v>
      </c>
      <c r="B106" t="str">
        <v>Callao</v>
      </c>
      <c r="C106">
        <v>9</v>
      </c>
      <c r="X106" t="s">
        <v>83</v>
      </c>
      <c r="Y106" t="s">
        <v>418</v>
      </c>
      <c r="Z106">
        <v>9</v>
      </c>
    </row>
    <row r="107" spans="1:26" x14ac:dyDescent="0.25">
      <c r="A107" t="str">
        <v>ARROZ CON ESCABECHE DE PESCADO Y JUGO DE MARACUYA</v>
      </c>
      <c r="B107" t="str">
        <v>Callao</v>
      </c>
      <c r="C107">
        <v>18</v>
      </c>
      <c r="X107" t="s">
        <v>71</v>
      </c>
      <c r="Y107" t="s">
        <v>418</v>
      </c>
      <c r="Z107">
        <v>2</v>
      </c>
    </row>
    <row r="108" spans="1:26" x14ac:dyDescent="0.25">
      <c r="A108" t="str">
        <v>SANDWICH DE CARNE</v>
      </c>
      <c r="B108" t="str">
        <v>Callao</v>
      </c>
      <c r="C108">
        <v>9</v>
      </c>
      <c r="X108" t="s">
        <v>84</v>
      </c>
      <c r="Y108" t="s">
        <v>418</v>
      </c>
      <c r="Z108">
        <v>1</v>
      </c>
    </row>
    <row r="109" spans="1:26" x14ac:dyDescent="0.25">
      <c r="A109" t="str">
        <v>PASAJE EN MOTOTAXI</v>
      </c>
      <c r="B109" t="str">
        <v>Callao</v>
      </c>
      <c r="C109">
        <v>2</v>
      </c>
      <c r="X109" t="s">
        <v>85</v>
      </c>
      <c r="Y109" t="s">
        <v>418</v>
      </c>
      <c r="Z109">
        <v>15</v>
      </c>
    </row>
    <row r="110" spans="1:26" x14ac:dyDescent="0.25">
      <c r="A110" t="str">
        <v>LECHE FRESCA DE SOYA</v>
      </c>
      <c r="B110" t="str">
        <v>Callao</v>
      </c>
      <c r="C110">
        <v>1</v>
      </c>
      <c r="X110" t="s">
        <v>86</v>
      </c>
      <c r="Y110" t="s">
        <v>418</v>
      </c>
      <c r="Z110">
        <v>1</v>
      </c>
    </row>
    <row r="111" spans="1:26" x14ac:dyDescent="0.25">
      <c r="A111" t="str">
        <v>ARROZ CON LENTEJA Y MOLLEJAS FRITA Y NARANJADA</v>
      </c>
      <c r="B111" t="str">
        <v>Callao</v>
      </c>
      <c r="C111">
        <v>15</v>
      </c>
      <c r="X111" t="s">
        <v>80</v>
      </c>
      <c r="Y111" t="s">
        <v>418</v>
      </c>
      <c r="Z111">
        <v>1</v>
      </c>
    </row>
    <row r="112" spans="1:26" x14ac:dyDescent="0.25">
      <c r="A112" t="str">
        <v>MANZANA CHILENA</v>
      </c>
      <c r="B112" t="str">
        <v>Callao</v>
      </c>
      <c r="C112">
        <v>1</v>
      </c>
      <c r="X112" t="s">
        <v>87</v>
      </c>
      <c r="Y112" t="s">
        <v>418</v>
      </c>
      <c r="Z112">
        <v>4</v>
      </c>
    </row>
    <row r="113" spans="1:26" x14ac:dyDescent="0.25">
      <c r="A113" t="str">
        <v>MANDARINA</v>
      </c>
      <c r="B113" t="str">
        <v>Callao</v>
      </c>
      <c r="C113">
        <v>1</v>
      </c>
      <c r="X113" t="s">
        <v>88</v>
      </c>
      <c r="Y113" t="s">
        <v>418</v>
      </c>
      <c r="Z113">
        <v>5</v>
      </c>
    </row>
    <row r="114" spans="1:26" x14ac:dyDescent="0.25">
      <c r="A114" t="str">
        <v>CEVICHE MIXTO</v>
      </c>
      <c r="B114" t="str">
        <v>Callao</v>
      </c>
      <c r="C114">
        <v>4</v>
      </c>
      <c r="X114" t="s">
        <v>89</v>
      </c>
      <c r="Y114" t="s">
        <v>418</v>
      </c>
      <c r="Z114">
        <v>5</v>
      </c>
    </row>
    <row r="115" spans="1:26" x14ac:dyDescent="0.25">
      <c r="A115" t="str">
        <v>CUOTA PARA COMPRA DE CANASTA NAVIDE A</v>
      </c>
      <c r="B115" t="str">
        <v>Callao</v>
      </c>
      <c r="C115">
        <v>5</v>
      </c>
      <c r="X115" t="s">
        <v>90</v>
      </c>
      <c r="Y115" t="s">
        <v>418</v>
      </c>
      <c r="Z115">
        <v>10</v>
      </c>
    </row>
    <row r="116" spans="1:26" x14ac:dyDescent="0.25">
      <c r="A116" t="str">
        <v>PECHUGA DE POLLO</v>
      </c>
      <c r="B116" t="str">
        <v>Callao</v>
      </c>
      <c r="C116">
        <v>5</v>
      </c>
      <c r="X116" t="s">
        <v>91</v>
      </c>
      <c r="Y116" t="s">
        <v>418</v>
      </c>
      <c r="Z116">
        <v>5</v>
      </c>
    </row>
    <row r="117" spans="1:26" x14ac:dyDescent="0.25">
      <c r="A117" t="str">
        <v>CORTE DE CABELLO PARA NI O</v>
      </c>
      <c r="B117" t="str">
        <v>Callao</v>
      </c>
      <c r="C117">
        <v>10</v>
      </c>
      <c r="X117" t="s">
        <v>92</v>
      </c>
      <c r="Y117" t="s">
        <v>418</v>
      </c>
      <c r="Z117">
        <v>5</v>
      </c>
    </row>
    <row r="118" spans="1:26" x14ac:dyDescent="0.25">
      <c r="A118" t="str">
        <v>MELON</v>
      </c>
      <c r="B118" t="str">
        <v>Callao</v>
      </c>
      <c r="C118">
        <v>5</v>
      </c>
      <c r="X118" t="s">
        <v>7</v>
      </c>
      <c r="Y118" t="s">
        <v>418</v>
      </c>
      <c r="Z118">
        <v>2</v>
      </c>
    </row>
    <row r="119" spans="1:26" x14ac:dyDescent="0.25">
      <c r="A119" t="str">
        <v>GRATED DE ATUN</v>
      </c>
      <c r="B119" t="str">
        <v>Callao</v>
      </c>
      <c r="C119">
        <v>5</v>
      </c>
      <c r="X119" t="s">
        <v>93</v>
      </c>
      <c r="Y119" t="s">
        <v>418</v>
      </c>
      <c r="Z119">
        <v>15</v>
      </c>
    </row>
    <row r="120" spans="1:26" x14ac:dyDescent="0.25">
      <c r="A120" t="str">
        <v>PAPA BLANCA</v>
      </c>
      <c r="B120" t="str">
        <v>Callao</v>
      </c>
      <c r="C120">
        <v>2</v>
      </c>
      <c r="X120" t="s">
        <v>94</v>
      </c>
      <c r="Y120" t="s">
        <v>418</v>
      </c>
      <c r="Z120">
        <v>18</v>
      </c>
    </row>
    <row r="121" spans="1:26" x14ac:dyDescent="0.25">
      <c r="A121" t="str">
        <v>TALLARINES ROJOS DE CARNE Y REFRESCO DE NARANJA</v>
      </c>
      <c r="B121" t="str">
        <v>Callao</v>
      </c>
      <c r="C121">
        <v>15</v>
      </c>
      <c r="X121" t="s">
        <v>86</v>
      </c>
      <c r="Y121" t="s">
        <v>418</v>
      </c>
      <c r="Z121">
        <v>2</v>
      </c>
    </row>
    <row r="122" spans="1:26" x14ac:dyDescent="0.25">
      <c r="A122" t="str">
        <v>SOPA DE POLLO ARROZ CON CHAUFA DE POLLO Y LIMONADA</v>
      </c>
      <c r="B122" t="str">
        <v>Callao</v>
      </c>
      <c r="C122">
        <v>18</v>
      </c>
      <c r="X122" t="s">
        <v>87</v>
      </c>
      <c r="Y122" t="s">
        <v>418</v>
      </c>
      <c r="Z122">
        <v>5</v>
      </c>
    </row>
    <row r="123" spans="1:26" x14ac:dyDescent="0.25">
      <c r="A123" t="str">
        <v>MANZANA CHILENA</v>
      </c>
      <c r="B123" t="str">
        <v>Callao</v>
      </c>
      <c r="C123">
        <v>2</v>
      </c>
      <c r="X123" t="s">
        <v>45</v>
      </c>
      <c r="Y123" t="s">
        <v>418</v>
      </c>
      <c r="Z123">
        <v>1</v>
      </c>
    </row>
    <row r="124" spans="1:26" x14ac:dyDescent="0.25">
      <c r="A124" t="str">
        <v>CEVICHE MIXTO</v>
      </c>
      <c r="B124" t="str">
        <v>Callao</v>
      </c>
      <c r="C124">
        <v>5</v>
      </c>
      <c r="X124" t="s">
        <v>62</v>
      </c>
      <c r="Y124" t="s">
        <v>418</v>
      </c>
      <c r="Z124">
        <v>2</v>
      </c>
    </row>
    <row r="125" spans="1:26" x14ac:dyDescent="0.25">
      <c r="A125" t="str">
        <v>CHICHA MORADA SERVIDA</v>
      </c>
      <c r="B125" t="str">
        <v>Callao</v>
      </c>
      <c r="C125">
        <v>1</v>
      </c>
      <c r="X125" t="s">
        <v>45</v>
      </c>
      <c r="Y125" t="s">
        <v>418</v>
      </c>
      <c r="Z125">
        <v>0</v>
      </c>
    </row>
    <row r="126" spans="1:26" x14ac:dyDescent="0.25">
      <c r="A126" t="str">
        <v>ACEITUNA NEGRA</v>
      </c>
      <c r="B126" t="str">
        <v>Callao</v>
      </c>
      <c r="C126">
        <v>2</v>
      </c>
      <c r="X126" t="s">
        <v>92</v>
      </c>
      <c r="Y126" t="s">
        <v>418</v>
      </c>
      <c r="Z126">
        <v>2</v>
      </c>
    </row>
    <row r="127" spans="1:26" x14ac:dyDescent="0.25">
      <c r="A127" t="str">
        <v>CHICHA MORADA SERVIDA</v>
      </c>
      <c r="B127" t="str">
        <v>Callao</v>
      </c>
      <c r="C127">
        <v>0</v>
      </c>
      <c r="X127" t="s">
        <v>95</v>
      </c>
      <c r="Y127" t="s">
        <v>418</v>
      </c>
      <c r="Z127">
        <v>1</v>
      </c>
    </row>
    <row r="128" spans="1:26" x14ac:dyDescent="0.25">
      <c r="A128" t="str">
        <v>GRATED DE ATUN</v>
      </c>
      <c r="B128" t="str">
        <v>Callao</v>
      </c>
      <c r="C128">
        <v>2</v>
      </c>
      <c r="X128" t="s">
        <v>96</v>
      </c>
      <c r="Y128" t="s">
        <v>418</v>
      </c>
      <c r="Z128">
        <v>15</v>
      </c>
    </row>
    <row r="129" spans="1:26" x14ac:dyDescent="0.25">
      <c r="A129" t="str">
        <v>PLATANO MADURO</v>
      </c>
      <c r="B129" t="str">
        <v>Callao</v>
      </c>
      <c r="C129">
        <v>1</v>
      </c>
      <c r="X129" t="s">
        <v>97</v>
      </c>
      <c r="Y129" t="s">
        <v>418</v>
      </c>
      <c r="Z129">
        <v>1</v>
      </c>
    </row>
    <row r="130" spans="1:26" x14ac:dyDescent="0.25">
      <c r="A130" t="str">
        <v>ARROZ CON PESCADO FRITO Y LIMONADA</v>
      </c>
      <c r="B130" t="str">
        <v>Callao</v>
      </c>
      <c r="C130">
        <v>15</v>
      </c>
      <c r="X130" t="s">
        <v>98</v>
      </c>
      <c r="Y130" t="s">
        <v>418</v>
      </c>
      <c r="Z130">
        <v>3</v>
      </c>
    </row>
    <row r="131" spans="1:26" x14ac:dyDescent="0.25">
      <c r="A131" t="str">
        <v>MORTADELA ENVASADA</v>
      </c>
      <c r="B131" t="str">
        <v>Callao</v>
      </c>
      <c r="C131">
        <v>1</v>
      </c>
      <c r="X131" t="s">
        <v>99</v>
      </c>
      <c r="Y131" t="s">
        <v>418</v>
      </c>
      <c r="Z131">
        <v>2</v>
      </c>
    </row>
    <row r="132" spans="1:26" x14ac:dyDescent="0.25">
      <c r="A132" t="str">
        <v>FILETE DE ATUN</v>
      </c>
      <c r="B132" t="str">
        <v>Callao</v>
      </c>
      <c r="C132">
        <v>3</v>
      </c>
      <c r="X132" t="s">
        <v>100</v>
      </c>
      <c r="Y132" t="s">
        <v>418</v>
      </c>
      <c r="Z132">
        <v>6</v>
      </c>
    </row>
    <row r="133" spans="1:26" x14ac:dyDescent="0.25">
      <c r="A133" t="str">
        <v>LENTEJA A GRANEL</v>
      </c>
      <c r="B133" t="str">
        <v>Callao</v>
      </c>
      <c r="C133">
        <v>2</v>
      </c>
      <c r="X133" t="s">
        <v>20</v>
      </c>
      <c r="Y133" t="s">
        <v>418</v>
      </c>
      <c r="Z133">
        <v>0</v>
      </c>
    </row>
    <row r="134" spans="1:26" x14ac:dyDescent="0.25">
      <c r="A134" t="str">
        <v>CARNE DE RES SIN HUESO</v>
      </c>
      <c r="B134" t="str">
        <v>Callao</v>
      </c>
      <c r="C134">
        <v>6</v>
      </c>
      <c r="X134" t="s">
        <v>64</v>
      </c>
      <c r="Y134" t="s">
        <v>418</v>
      </c>
      <c r="Z134">
        <v>2</v>
      </c>
    </row>
    <row r="135" spans="1:26" x14ac:dyDescent="0.25">
      <c r="A135" t="str">
        <v>AJI PIMIENTO</v>
      </c>
      <c r="B135" t="str">
        <v>Callao</v>
      </c>
      <c r="C135">
        <v>0</v>
      </c>
      <c r="X135" t="s">
        <v>101</v>
      </c>
      <c r="Y135" t="s">
        <v>418</v>
      </c>
      <c r="Z135">
        <v>1</v>
      </c>
    </row>
    <row r="136" spans="1:26" x14ac:dyDescent="0.25">
      <c r="A136" t="str">
        <v>JABON PARA LAVAR ROPA</v>
      </c>
      <c r="B136" t="str">
        <v>Callao</v>
      </c>
      <c r="C136">
        <v>2</v>
      </c>
      <c r="X136" t="s">
        <v>102</v>
      </c>
      <c r="Y136" t="s">
        <v>418</v>
      </c>
      <c r="Z136">
        <v>12</v>
      </c>
    </row>
    <row r="137" spans="1:26" x14ac:dyDescent="0.25">
      <c r="A137" t="str">
        <v>MAICENA ENVASADA</v>
      </c>
      <c r="B137" t="str">
        <v>Callao</v>
      </c>
      <c r="C137">
        <v>1</v>
      </c>
      <c r="X137" t="s">
        <v>16</v>
      </c>
      <c r="Y137" t="s">
        <v>418</v>
      </c>
      <c r="Z137">
        <v>0</v>
      </c>
    </row>
    <row r="138" spans="1:26" x14ac:dyDescent="0.25">
      <c r="A138" t="str">
        <v>ARROZ CON LENTEJA PESCADO FRITO Y LIMONADA</v>
      </c>
      <c r="B138" t="str">
        <v>Callao</v>
      </c>
      <c r="C138">
        <v>12</v>
      </c>
      <c r="X138" t="s">
        <v>27</v>
      </c>
      <c r="Y138" t="s">
        <v>418</v>
      </c>
      <c r="Z138">
        <v>1</v>
      </c>
    </row>
    <row r="139" spans="1:26" x14ac:dyDescent="0.25">
      <c r="A139" t="str">
        <v>PLATANO DE SEDA</v>
      </c>
      <c r="B139" t="str">
        <v>Callao</v>
      </c>
      <c r="C139">
        <v>0</v>
      </c>
      <c r="X139" t="s">
        <v>103</v>
      </c>
      <c r="Y139" t="s">
        <v>418</v>
      </c>
      <c r="Z139">
        <v>1</v>
      </c>
    </row>
    <row r="140" spans="1:26" x14ac:dyDescent="0.25">
      <c r="A140" t="str">
        <v>TAMAL VERDE POLLO SERVIDO</v>
      </c>
      <c r="B140" t="str">
        <v>Callao</v>
      </c>
      <c r="C140">
        <v>1</v>
      </c>
      <c r="X140" t="s">
        <v>104</v>
      </c>
      <c r="Y140" t="s">
        <v>418</v>
      </c>
      <c r="Z140">
        <v>0</v>
      </c>
    </row>
    <row r="141" spans="1:26" x14ac:dyDescent="0.25">
      <c r="A141" t="str">
        <v>CANELA ENTERA A GRANEL</v>
      </c>
      <c r="B141" t="str">
        <v>Callao</v>
      </c>
      <c r="C141">
        <v>1</v>
      </c>
      <c r="X141" t="s">
        <v>105</v>
      </c>
      <c r="Y141" t="s">
        <v>418</v>
      </c>
      <c r="Z141">
        <v>0</v>
      </c>
    </row>
    <row r="142" spans="1:26" x14ac:dyDescent="0.25">
      <c r="A142" t="str">
        <v>CLAVO DE OLOR A GRANEL</v>
      </c>
      <c r="B142" t="str">
        <v>Callao</v>
      </c>
      <c r="C142">
        <v>0</v>
      </c>
      <c r="X142" t="s">
        <v>106</v>
      </c>
      <c r="Y142" t="s">
        <v>418</v>
      </c>
      <c r="Z142">
        <v>0</v>
      </c>
    </row>
    <row r="143" spans="1:26" x14ac:dyDescent="0.25">
      <c r="A143" t="str">
        <v>APIO</v>
      </c>
      <c r="B143" t="str">
        <v>Callao</v>
      </c>
      <c r="C143">
        <v>0</v>
      </c>
      <c r="X143" t="s">
        <v>60</v>
      </c>
      <c r="Y143" t="s">
        <v>418</v>
      </c>
      <c r="Z143">
        <v>12</v>
      </c>
    </row>
    <row r="144" spans="1:26" x14ac:dyDescent="0.25">
      <c r="A144" t="str">
        <v>AJO ENTERO SIN PELAR</v>
      </c>
      <c r="B144" t="str">
        <v>Callao</v>
      </c>
      <c r="C144">
        <v>0</v>
      </c>
      <c r="X144" t="s">
        <v>107</v>
      </c>
      <c r="Y144" t="s">
        <v>418</v>
      </c>
      <c r="Z144">
        <v>1</v>
      </c>
    </row>
    <row r="145" spans="1:26" x14ac:dyDescent="0.25">
      <c r="A145" t="str">
        <v>POLLO EVISCERADO</v>
      </c>
      <c r="B145" t="str">
        <v>Callao</v>
      </c>
      <c r="C145">
        <v>12</v>
      </c>
      <c r="X145" t="s">
        <v>108</v>
      </c>
      <c r="Y145" t="s">
        <v>418</v>
      </c>
      <c r="Z145">
        <v>0</v>
      </c>
    </row>
    <row r="146" spans="1:26" x14ac:dyDescent="0.25">
      <c r="A146" t="str">
        <v>PAPA AMARILLA</v>
      </c>
      <c r="B146" t="str">
        <v>Callao</v>
      </c>
      <c r="C146">
        <v>1</v>
      </c>
      <c r="X146" t="s">
        <v>109</v>
      </c>
      <c r="Y146" t="s">
        <v>418</v>
      </c>
      <c r="Z146">
        <v>0</v>
      </c>
    </row>
    <row r="147" spans="1:26" x14ac:dyDescent="0.25">
      <c r="A147" t="str">
        <v>OREGANO SECO ENVASADO</v>
      </c>
      <c r="B147" t="str">
        <v>Callao</v>
      </c>
      <c r="C147">
        <v>0</v>
      </c>
      <c r="X147" t="s">
        <v>37</v>
      </c>
      <c r="Y147" t="s">
        <v>418</v>
      </c>
      <c r="Z147">
        <v>0</v>
      </c>
    </row>
    <row r="148" spans="1:26" x14ac:dyDescent="0.25">
      <c r="A148" t="str">
        <v>KION ENTERO A GRANEL</v>
      </c>
      <c r="B148" t="str">
        <v>Callao</v>
      </c>
      <c r="C148">
        <v>0</v>
      </c>
      <c r="X148" t="s">
        <v>110</v>
      </c>
      <c r="Y148" t="s">
        <v>418</v>
      </c>
      <c r="Z148">
        <v>2</v>
      </c>
    </row>
    <row r="149" spans="1:26" x14ac:dyDescent="0.25">
      <c r="A149" t="str">
        <v>PLATANO VERDE</v>
      </c>
      <c r="B149" t="str">
        <v>Callao</v>
      </c>
      <c r="C149">
        <v>0</v>
      </c>
      <c r="X149" t="s">
        <v>111</v>
      </c>
      <c r="Y149" t="s">
        <v>418</v>
      </c>
      <c r="Z149">
        <v>2</v>
      </c>
    </row>
    <row r="150" spans="1:26" x14ac:dyDescent="0.25">
      <c r="A150" t="str">
        <v>PROPINA PARA HIJO</v>
      </c>
      <c r="B150" t="str">
        <v>Callao</v>
      </c>
      <c r="C150">
        <v>2</v>
      </c>
      <c r="X150" t="s">
        <v>73</v>
      </c>
      <c r="Y150" t="s">
        <v>418</v>
      </c>
      <c r="Z150">
        <v>2</v>
      </c>
    </row>
    <row r="151" spans="1:26" x14ac:dyDescent="0.25">
      <c r="A151" t="str">
        <v>PROPINA PARA HIJA</v>
      </c>
      <c r="B151" t="str">
        <v>Callao</v>
      </c>
      <c r="C151">
        <v>2</v>
      </c>
      <c r="X151" t="s">
        <v>112</v>
      </c>
      <c r="Y151" t="s">
        <v>418</v>
      </c>
      <c r="Z151">
        <v>6</v>
      </c>
    </row>
    <row r="152" spans="1:26" x14ac:dyDescent="0.25">
      <c r="A152" t="str">
        <v>AGUA DE MESA SIN GAS</v>
      </c>
      <c r="B152" t="str">
        <v>Callao</v>
      </c>
      <c r="C152">
        <v>2</v>
      </c>
      <c r="X152" t="s">
        <v>113</v>
      </c>
      <c r="Y152" t="s">
        <v>418</v>
      </c>
      <c r="Z152">
        <v>19</v>
      </c>
    </row>
    <row r="153" spans="1:26" x14ac:dyDescent="0.25">
      <c r="A153" t="str">
        <v>TOALLA HIGIENICA</v>
      </c>
      <c r="B153" t="str">
        <v>Callao</v>
      </c>
      <c r="C153">
        <v>6</v>
      </c>
      <c r="X153" t="s">
        <v>27</v>
      </c>
      <c r="Y153" t="s">
        <v>418</v>
      </c>
      <c r="Z153">
        <v>4</v>
      </c>
    </row>
    <row r="154" spans="1:26" x14ac:dyDescent="0.25">
      <c r="A154" t="str">
        <v>FOTOCOPIA BLANCO Y NEGRO</v>
      </c>
      <c r="B154" t="str">
        <v>Callao</v>
      </c>
      <c r="C154">
        <v>19</v>
      </c>
      <c r="X154" t="s">
        <v>114</v>
      </c>
      <c r="Y154" t="s">
        <v>418</v>
      </c>
      <c r="Z154">
        <v>65</v>
      </c>
    </row>
    <row r="155" spans="1:26" x14ac:dyDescent="0.25">
      <c r="A155" t="str">
        <v>TAMAL VERDE POLLO SERVIDO</v>
      </c>
      <c r="B155" t="str">
        <v>Callao</v>
      </c>
      <c r="C155">
        <v>4</v>
      </c>
      <c r="X155" t="s">
        <v>70</v>
      </c>
      <c r="Y155" t="s">
        <v>418</v>
      </c>
      <c r="Z155">
        <v>27</v>
      </c>
    </row>
    <row r="156" spans="1:26" x14ac:dyDescent="0.25">
      <c r="A156" t="str">
        <v>PIJAMA HOMBRE</v>
      </c>
      <c r="B156" t="str">
        <v>Callao</v>
      </c>
      <c r="C156">
        <v>65</v>
      </c>
      <c r="X156" t="s">
        <v>115</v>
      </c>
      <c r="Y156" t="s">
        <v>418</v>
      </c>
      <c r="Z156">
        <v>1</v>
      </c>
    </row>
    <row r="157" spans="1:26" x14ac:dyDescent="0.25">
      <c r="A157" t="str">
        <v>ALMUERZO MENU</v>
      </c>
      <c r="B157" t="str">
        <v>Callao</v>
      </c>
      <c r="C157">
        <v>27</v>
      </c>
      <c r="X157" t="s">
        <v>116</v>
      </c>
      <c r="Y157" t="s">
        <v>418</v>
      </c>
      <c r="Z157">
        <v>36</v>
      </c>
    </row>
    <row r="158" spans="1:26" x14ac:dyDescent="0.25">
      <c r="A158" t="str">
        <v>PLATO DESCARTABLE</v>
      </c>
      <c r="B158" t="str">
        <v>Callao</v>
      </c>
      <c r="C158">
        <v>1</v>
      </c>
      <c r="X158" t="s">
        <v>16</v>
      </c>
      <c r="Y158" t="s">
        <v>418</v>
      </c>
      <c r="Z158">
        <v>2</v>
      </c>
    </row>
    <row r="159" spans="1:26" x14ac:dyDescent="0.25">
      <c r="A159" t="str">
        <v>CARTERA</v>
      </c>
      <c r="B159" t="str">
        <v>Callao</v>
      </c>
      <c r="C159">
        <v>36</v>
      </c>
      <c r="X159" t="s">
        <v>17</v>
      </c>
      <c r="Y159" t="s">
        <v>418</v>
      </c>
      <c r="Z159">
        <v>3</v>
      </c>
    </row>
    <row r="160" spans="1:26" x14ac:dyDescent="0.25">
      <c r="A160" t="str">
        <v>PLATANO DE SEDA</v>
      </c>
      <c r="B160" t="str">
        <v>Callao</v>
      </c>
      <c r="C160">
        <v>2</v>
      </c>
      <c r="X160" t="s">
        <v>117</v>
      </c>
      <c r="Y160" t="s">
        <v>418</v>
      </c>
      <c r="Z160">
        <v>3</v>
      </c>
    </row>
    <row r="161" spans="1:26" x14ac:dyDescent="0.25">
      <c r="A161" t="str">
        <v>UVA NEGRA</v>
      </c>
      <c r="B161" t="str">
        <v>Callao</v>
      </c>
      <c r="C161">
        <v>3</v>
      </c>
      <c r="X161" t="s">
        <v>70</v>
      </c>
      <c r="Y161" t="s">
        <v>418</v>
      </c>
      <c r="Z161">
        <v>24</v>
      </c>
    </row>
    <row r="162" spans="1:26" x14ac:dyDescent="0.25">
      <c r="A162" t="str">
        <v>PI A EN RODAJA</v>
      </c>
      <c r="B162" t="str">
        <v>Callao</v>
      </c>
      <c r="C162">
        <v>3</v>
      </c>
      <c r="X162" t="s">
        <v>27</v>
      </c>
      <c r="Y162" t="s">
        <v>418</v>
      </c>
      <c r="Z162">
        <v>5</v>
      </c>
    </row>
    <row r="163" spans="1:26" x14ac:dyDescent="0.25">
      <c r="A163" t="str">
        <v>ALMUERZO MENU</v>
      </c>
      <c r="B163" t="str">
        <v>Callao</v>
      </c>
      <c r="C163">
        <v>24</v>
      </c>
      <c r="X163" t="s">
        <v>79</v>
      </c>
      <c r="Y163" t="s">
        <v>418</v>
      </c>
      <c r="Z163">
        <v>4</v>
      </c>
    </row>
    <row r="164" spans="1:26" x14ac:dyDescent="0.25">
      <c r="A164" t="str">
        <v>TAMAL VERDE POLLO SERVIDO</v>
      </c>
      <c r="B164" t="str">
        <v>Callao</v>
      </c>
      <c r="C164">
        <v>5</v>
      </c>
      <c r="X164" t="s">
        <v>78</v>
      </c>
      <c r="Y164" t="s">
        <v>418</v>
      </c>
      <c r="Z164">
        <v>1</v>
      </c>
    </row>
    <row r="165" spans="1:26" x14ac:dyDescent="0.25">
      <c r="A165" t="str">
        <v>HUMITAS</v>
      </c>
      <c r="B165" t="str">
        <v>Callao</v>
      </c>
      <c r="C165">
        <v>4</v>
      </c>
      <c r="X165" t="s">
        <v>28</v>
      </c>
      <c r="Y165" t="s">
        <v>418</v>
      </c>
      <c r="Z165">
        <v>8</v>
      </c>
    </row>
    <row r="166" spans="1:26" x14ac:dyDescent="0.25">
      <c r="A166" t="str">
        <v>TE FILTRANTE</v>
      </c>
      <c r="B166" t="str">
        <v>Callao</v>
      </c>
      <c r="C166">
        <v>1</v>
      </c>
      <c r="X166" t="s">
        <v>118</v>
      </c>
      <c r="Y166" t="s">
        <v>418</v>
      </c>
      <c r="Z166">
        <v>130</v>
      </c>
    </row>
    <row r="167" spans="1:26" x14ac:dyDescent="0.25">
      <c r="A167" t="str">
        <v>ACEITE VEGETAL ENVASADO</v>
      </c>
      <c r="B167" t="str">
        <v>Callao</v>
      </c>
      <c r="C167">
        <v>8</v>
      </c>
      <c r="X167" t="s">
        <v>73</v>
      </c>
      <c r="Y167" t="s">
        <v>418</v>
      </c>
      <c r="Z167">
        <v>5</v>
      </c>
    </row>
    <row r="168" spans="1:26" x14ac:dyDescent="0.25">
      <c r="A168" t="str">
        <v>SERVICIO EN CENTRO VACACIONAL</v>
      </c>
      <c r="B168" t="str">
        <v>Callao</v>
      </c>
      <c r="C168">
        <v>130</v>
      </c>
      <c r="X168" t="s">
        <v>119</v>
      </c>
      <c r="Y168" t="s">
        <v>418</v>
      </c>
      <c r="Z168">
        <v>2</v>
      </c>
    </row>
    <row r="169" spans="1:26" x14ac:dyDescent="0.25">
      <c r="A169" t="str">
        <v>AGUA DE MESA SIN GAS</v>
      </c>
      <c r="B169" t="str">
        <v>Callao</v>
      </c>
      <c r="C169">
        <v>5</v>
      </c>
      <c r="X169" t="s">
        <v>120</v>
      </c>
      <c r="Y169" t="s">
        <v>418</v>
      </c>
      <c r="Z169">
        <v>3</v>
      </c>
    </row>
    <row r="170" spans="1:26" x14ac:dyDescent="0.25">
      <c r="A170" t="str">
        <v>PASAJE COLECTIVO</v>
      </c>
      <c r="B170" t="str">
        <v>Callao</v>
      </c>
      <c r="C170">
        <v>2</v>
      </c>
      <c r="X170" t="s">
        <v>121</v>
      </c>
      <c r="Y170" t="s">
        <v>418</v>
      </c>
      <c r="Z170">
        <v>4</v>
      </c>
    </row>
    <row r="171" spans="1:26" x14ac:dyDescent="0.25">
      <c r="A171" t="str">
        <v>PAN CAFE Y HUEVO FRITO</v>
      </c>
      <c r="B171" t="str">
        <v>Callao</v>
      </c>
      <c r="C171">
        <v>3</v>
      </c>
      <c r="X171" t="s">
        <v>45</v>
      </c>
      <c r="Y171" t="s">
        <v>418</v>
      </c>
      <c r="Z171">
        <v>2</v>
      </c>
    </row>
    <row r="172" spans="1:26" x14ac:dyDescent="0.25">
      <c r="A172" t="str">
        <v>ARROZ CON MENESTRA Y ESTOFADO DE POLLO Y NARANJADA</v>
      </c>
      <c r="B172" t="str">
        <v>Callao</v>
      </c>
      <c r="C172">
        <v>4</v>
      </c>
      <c r="X172" t="s">
        <v>122</v>
      </c>
      <c r="Y172" t="s">
        <v>418</v>
      </c>
      <c r="Z172">
        <v>4</v>
      </c>
    </row>
    <row r="173" spans="1:26" x14ac:dyDescent="0.25">
      <c r="A173" t="str">
        <v>CHICHA MORADA SERVIDA</v>
      </c>
      <c r="B173" t="str">
        <v>Callao</v>
      </c>
      <c r="C173">
        <v>2</v>
      </c>
      <c r="X173" t="s">
        <v>123</v>
      </c>
      <c r="Y173" t="s">
        <v>418</v>
      </c>
      <c r="Z173">
        <v>1</v>
      </c>
    </row>
    <row r="174" spans="1:26" x14ac:dyDescent="0.25">
      <c r="A174" t="str">
        <v>CENA MENU</v>
      </c>
      <c r="B174" t="str">
        <v>Callao</v>
      </c>
      <c r="C174">
        <v>4</v>
      </c>
      <c r="X174" t="s">
        <v>124</v>
      </c>
      <c r="Y174" t="s">
        <v>418</v>
      </c>
      <c r="Z174">
        <v>0</v>
      </c>
    </row>
    <row r="175" spans="1:26" x14ac:dyDescent="0.25">
      <c r="A175" t="str">
        <v>CHAMPU ADULTO</v>
      </c>
      <c r="B175" t="str">
        <v>Callao</v>
      </c>
      <c r="C175">
        <v>1</v>
      </c>
      <c r="X175" t="s">
        <v>125</v>
      </c>
      <c r="Y175" t="s">
        <v>418</v>
      </c>
      <c r="Z175">
        <v>3</v>
      </c>
    </row>
    <row r="176" spans="1:26" x14ac:dyDescent="0.25">
      <c r="A176" t="str">
        <v>PERIODICO</v>
      </c>
      <c r="B176" t="str">
        <v>Callao</v>
      </c>
      <c r="C176">
        <v>0</v>
      </c>
      <c r="X176" t="s">
        <v>126</v>
      </c>
      <c r="Y176" t="s">
        <v>418</v>
      </c>
      <c r="Z176">
        <v>5</v>
      </c>
    </row>
    <row r="177" spans="1:26" x14ac:dyDescent="0.25">
      <c r="A177" t="str">
        <v>PAN CAFE Y TAMAL</v>
      </c>
      <c r="B177" t="str">
        <v>Callao</v>
      </c>
      <c r="C177">
        <v>3</v>
      </c>
      <c r="X177" t="s">
        <v>127</v>
      </c>
      <c r="Y177" t="s">
        <v>418</v>
      </c>
      <c r="Z177">
        <v>5</v>
      </c>
    </row>
    <row r="178" spans="1:26" x14ac:dyDescent="0.25">
      <c r="A178" t="str">
        <v>REPARACION DE CALZADO ADULTO</v>
      </c>
      <c r="B178" t="str">
        <v>Callao</v>
      </c>
      <c r="C178">
        <v>5</v>
      </c>
      <c r="X178" t="s">
        <v>128</v>
      </c>
      <c r="Y178" t="s">
        <v>418</v>
      </c>
      <c r="Z178">
        <v>1</v>
      </c>
    </row>
    <row r="179" spans="1:26" x14ac:dyDescent="0.25">
      <c r="A179" t="str">
        <v>ARROZ CON TALLARIN DE POLLO Y LIMONADA</v>
      </c>
      <c r="B179" t="str">
        <v>Callao</v>
      </c>
      <c r="C179">
        <v>5</v>
      </c>
      <c r="X179" t="s">
        <v>83</v>
      </c>
      <c r="Y179" t="s">
        <v>418</v>
      </c>
      <c r="Z179">
        <v>3</v>
      </c>
    </row>
    <row r="180" spans="1:26" x14ac:dyDescent="0.25">
      <c r="A180" t="str">
        <v>SANDIA EN TAJADA</v>
      </c>
      <c r="B180" t="str">
        <v>Callao</v>
      </c>
      <c r="C180">
        <v>1</v>
      </c>
      <c r="X180" t="s">
        <v>129</v>
      </c>
      <c r="Y180" t="s">
        <v>418</v>
      </c>
      <c r="Z180">
        <v>1</v>
      </c>
    </row>
    <row r="181" spans="1:26" x14ac:dyDescent="0.25">
      <c r="A181" t="str">
        <v>SANDWICH DE CARNE</v>
      </c>
      <c r="B181" t="str">
        <v>Callao</v>
      </c>
      <c r="C181">
        <v>3</v>
      </c>
      <c r="X181" t="s">
        <v>130</v>
      </c>
      <c r="Y181" t="s">
        <v>418</v>
      </c>
      <c r="Z181">
        <v>3</v>
      </c>
    </row>
    <row r="182" spans="1:26" x14ac:dyDescent="0.25">
      <c r="A182" t="str">
        <v>PASTILLA PARA LA INFLAMACION Y DOLOR LEVE</v>
      </c>
      <c r="B182" t="str">
        <v>Callao</v>
      </c>
      <c r="C182">
        <v>1</v>
      </c>
      <c r="X182" t="s">
        <v>17</v>
      </c>
      <c r="Y182" t="s">
        <v>418</v>
      </c>
      <c r="Z182">
        <v>1</v>
      </c>
    </row>
    <row r="183" spans="1:26" x14ac:dyDescent="0.25">
      <c r="A183" t="str">
        <v>PAN CON JAMONADA Y AVENA</v>
      </c>
      <c r="B183" t="str">
        <v>Callao</v>
      </c>
      <c r="C183">
        <v>3</v>
      </c>
      <c r="X183" t="s">
        <v>131</v>
      </c>
      <c r="Y183" t="s">
        <v>418</v>
      </c>
      <c r="Z183">
        <v>1</v>
      </c>
    </row>
    <row r="184" spans="1:26" x14ac:dyDescent="0.25">
      <c r="A184" t="str">
        <v>UVA NEGRA</v>
      </c>
      <c r="B184" t="str">
        <v>Callao</v>
      </c>
      <c r="C184">
        <v>1</v>
      </c>
      <c r="X184" t="s">
        <v>132</v>
      </c>
      <c r="Y184" t="s">
        <v>418</v>
      </c>
      <c r="Z184">
        <v>5</v>
      </c>
    </row>
    <row r="185" spans="1:26" x14ac:dyDescent="0.25">
      <c r="A185" t="str">
        <v>PLATANO DE LA ISLA</v>
      </c>
      <c r="B185" t="str">
        <v>Callao</v>
      </c>
      <c r="C185">
        <v>1</v>
      </c>
      <c r="X185" t="s">
        <v>133</v>
      </c>
      <c r="Y185" t="s">
        <v>418</v>
      </c>
      <c r="Z185">
        <v>5</v>
      </c>
    </row>
    <row r="186" spans="1:26" x14ac:dyDescent="0.25">
      <c r="A186" t="str">
        <v>ARROZ CON CARNE FRITA MADURO FRITO SALSA CRIOLLA Y LIMONADA</v>
      </c>
      <c r="B186" t="str">
        <v>Callao</v>
      </c>
      <c r="C186">
        <v>5</v>
      </c>
      <c r="X186" t="s">
        <v>134</v>
      </c>
      <c r="Y186" t="s">
        <v>418</v>
      </c>
      <c r="Z186">
        <v>4</v>
      </c>
    </row>
    <row r="187" spans="1:26" x14ac:dyDescent="0.25">
      <c r="A187" t="str">
        <v>PASTILLA PARA EL DOLOR DE RI ONES</v>
      </c>
      <c r="B187" t="str">
        <v>Callao</v>
      </c>
      <c r="C187">
        <v>5</v>
      </c>
      <c r="X187" t="s">
        <v>135</v>
      </c>
      <c r="Y187" t="s">
        <v>418</v>
      </c>
      <c r="Z187">
        <v>1</v>
      </c>
    </row>
    <row r="188" spans="1:26" x14ac:dyDescent="0.25">
      <c r="A188" t="str">
        <v>MAJADO CON HUEVO FRITO Y CAFE</v>
      </c>
      <c r="B188" t="str">
        <v>Callao</v>
      </c>
      <c r="C188">
        <v>4</v>
      </c>
      <c r="X188" t="s">
        <v>136</v>
      </c>
      <c r="Y188" t="s">
        <v>418</v>
      </c>
      <c r="Z188">
        <v>5</v>
      </c>
    </row>
    <row r="189" spans="1:26" x14ac:dyDescent="0.25">
      <c r="A189" t="str">
        <v>RASPADILLA SERVIDO</v>
      </c>
      <c r="B189" t="str">
        <v>Callao</v>
      </c>
      <c r="C189">
        <v>1</v>
      </c>
      <c r="X189" t="s">
        <v>137</v>
      </c>
      <c r="Y189" t="s">
        <v>418</v>
      </c>
      <c r="Z189">
        <v>4</v>
      </c>
    </row>
    <row r="190" spans="1:26" x14ac:dyDescent="0.25">
      <c r="A190" t="str">
        <v>SOPA DE BOLAS ARROZ CON CARNE FRITA PURE DE PAPA Y LIMONADA</v>
      </c>
      <c r="B190" t="str">
        <v>Callao</v>
      </c>
      <c r="C190">
        <v>5</v>
      </c>
      <c r="X190" t="s">
        <v>125</v>
      </c>
      <c r="Y190" t="s">
        <v>418</v>
      </c>
      <c r="Z190">
        <v>2</v>
      </c>
    </row>
    <row r="191" spans="1:26" x14ac:dyDescent="0.25">
      <c r="A191" t="str">
        <v>CAFE CON PAN Y TORTILLA</v>
      </c>
      <c r="B191" t="str">
        <v>Callao</v>
      </c>
      <c r="C191">
        <v>4</v>
      </c>
      <c r="X191" t="s">
        <v>138</v>
      </c>
      <c r="Y191" t="s">
        <v>418</v>
      </c>
      <c r="Z191">
        <v>4</v>
      </c>
    </row>
    <row r="192" spans="1:26" x14ac:dyDescent="0.25">
      <c r="A192" t="str">
        <v>PAN CAFE Y TAMAL</v>
      </c>
      <c r="B192" t="str">
        <v>Callao</v>
      </c>
      <c r="C192">
        <v>2</v>
      </c>
      <c r="X192" t="s">
        <v>139</v>
      </c>
      <c r="Y192" t="s">
        <v>418</v>
      </c>
      <c r="Z192">
        <v>1</v>
      </c>
    </row>
    <row r="193" spans="1:26" x14ac:dyDescent="0.25">
      <c r="A193" t="str">
        <v>ARROZ CON TORTILLA DE HUEVO Y TE</v>
      </c>
      <c r="B193" t="str">
        <v>Callao</v>
      </c>
      <c r="C193">
        <v>4</v>
      </c>
      <c r="X193" t="s">
        <v>140</v>
      </c>
      <c r="Y193" t="s">
        <v>418</v>
      </c>
      <c r="Z193">
        <v>4</v>
      </c>
    </row>
    <row r="194" spans="1:26" x14ac:dyDescent="0.25">
      <c r="A194" t="str">
        <v>MAZAMORRA PREPARADA</v>
      </c>
      <c r="B194" t="str">
        <v>Callao</v>
      </c>
      <c r="C194">
        <v>1</v>
      </c>
      <c r="X194" t="s">
        <v>141</v>
      </c>
      <c r="Y194" t="s">
        <v>418</v>
      </c>
      <c r="Z194">
        <v>5</v>
      </c>
    </row>
    <row r="195" spans="1:26" x14ac:dyDescent="0.25">
      <c r="A195" t="str">
        <v>MOLIDO CON HUEVO FRITO Y CAFE</v>
      </c>
      <c r="B195" t="str">
        <v>Callao</v>
      </c>
      <c r="C195">
        <v>4</v>
      </c>
      <c r="X195" t="s">
        <v>142</v>
      </c>
      <c r="Y195" t="s">
        <v>418</v>
      </c>
      <c r="Z195">
        <v>1</v>
      </c>
    </row>
    <row r="196" spans="1:26" x14ac:dyDescent="0.25">
      <c r="A196" t="str">
        <v>ARROZ CON MONDONGO Y LIMONADA</v>
      </c>
      <c r="B196" t="str">
        <v>Callao</v>
      </c>
      <c r="C196">
        <v>5</v>
      </c>
      <c r="X196" t="s">
        <v>143</v>
      </c>
      <c r="Y196" t="s">
        <v>418</v>
      </c>
      <c r="Z196">
        <v>3</v>
      </c>
    </row>
    <row r="197" spans="1:26" x14ac:dyDescent="0.25">
      <c r="A197" t="str">
        <v>SANDIA EN RODAJA</v>
      </c>
      <c r="B197" t="str">
        <v>Callao</v>
      </c>
      <c r="C197">
        <v>1</v>
      </c>
      <c r="X197" t="s">
        <v>144</v>
      </c>
      <c r="Y197" t="s">
        <v>418</v>
      </c>
      <c r="Z197">
        <v>3</v>
      </c>
    </row>
    <row r="198" spans="1:26" x14ac:dyDescent="0.25">
      <c r="A198" t="str">
        <v>ARROZ CON HUEVO FRITO Y TE</v>
      </c>
      <c r="B198" t="str">
        <v>Callao</v>
      </c>
      <c r="C198">
        <v>3</v>
      </c>
      <c r="X198" t="s">
        <v>145</v>
      </c>
      <c r="Y198" t="s">
        <v>418</v>
      </c>
      <c r="Z198">
        <v>4</v>
      </c>
    </row>
    <row r="199" spans="1:26" x14ac:dyDescent="0.25">
      <c r="A199" t="str">
        <v>PAN CAFE Y JAMONADA</v>
      </c>
      <c r="B199" t="str">
        <v>Callao</v>
      </c>
      <c r="C199">
        <v>3</v>
      </c>
      <c r="X199" t="s">
        <v>146</v>
      </c>
      <c r="Y199" t="s">
        <v>418</v>
      </c>
      <c r="Z199">
        <v>2</v>
      </c>
    </row>
    <row r="200" spans="1:26" x14ac:dyDescent="0.25">
      <c r="A200" t="str">
        <v>ARROZ CON MENESTRA Y POLLO HORNADO Y LIMONADA</v>
      </c>
      <c r="B200" t="str">
        <v>Callao</v>
      </c>
      <c r="C200">
        <v>4</v>
      </c>
      <c r="X200" t="s">
        <v>59</v>
      </c>
      <c r="Y200" t="s">
        <v>418</v>
      </c>
      <c r="Z200">
        <v>23</v>
      </c>
    </row>
    <row r="201" spans="1:26" x14ac:dyDescent="0.25">
      <c r="A201" t="str">
        <v>SOPA AGUADITO Y CAFE</v>
      </c>
      <c r="B201" t="str">
        <v>Callao</v>
      </c>
      <c r="C201">
        <v>2</v>
      </c>
      <c r="X201" t="s">
        <v>37</v>
      </c>
      <c r="Y201" t="s">
        <v>418</v>
      </c>
      <c r="Z201">
        <v>4</v>
      </c>
    </row>
    <row r="202" spans="1:26" x14ac:dyDescent="0.25">
      <c r="A202" t="str">
        <v>SIERRA FRESCA</v>
      </c>
      <c r="B202" t="str">
        <v>Callao</v>
      </c>
      <c r="C202">
        <v>23</v>
      </c>
      <c r="X202" t="s">
        <v>147</v>
      </c>
      <c r="Y202" t="s">
        <v>418</v>
      </c>
      <c r="Z202">
        <v>0</v>
      </c>
    </row>
    <row r="203" spans="1:26" x14ac:dyDescent="0.25">
      <c r="A203" t="str">
        <v>PLATANO VERDE</v>
      </c>
      <c r="B203" t="str">
        <v>Callao</v>
      </c>
      <c r="C203">
        <v>4</v>
      </c>
      <c r="X203" t="s">
        <v>148</v>
      </c>
      <c r="Y203" t="s">
        <v>418</v>
      </c>
      <c r="Z203">
        <v>1</v>
      </c>
    </row>
    <row r="204" spans="1:26" x14ac:dyDescent="0.25">
      <c r="A204" t="str">
        <v>ZANAHORIA ENTERA</v>
      </c>
      <c r="B204" t="str">
        <v>Callao</v>
      </c>
      <c r="C204">
        <v>0</v>
      </c>
      <c r="X204" t="s">
        <v>63</v>
      </c>
      <c r="Y204" t="s">
        <v>418</v>
      </c>
      <c r="Z204">
        <v>1</v>
      </c>
    </row>
    <row r="205" spans="1:26" x14ac:dyDescent="0.25">
      <c r="A205" t="str">
        <v>MARACUYA</v>
      </c>
      <c r="B205" t="str">
        <v>Callao</v>
      </c>
      <c r="C205">
        <v>1</v>
      </c>
      <c r="X205" t="s">
        <v>149</v>
      </c>
      <c r="Y205" t="s">
        <v>418</v>
      </c>
      <c r="Z205">
        <v>2</v>
      </c>
    </row>
    <row r="206" spans="1:26" x14ac:dyDescent="0.25">
      <c r="A206" t="str">
        <v>GRANADILLA</v>
      </c>
      <c r="B206" t="str">
        <v>Callao</v>
      </c>
      <c r="C206">
        <v>1</v>
      </c>
      <c r="X206" t="s">
        <v>148</v>
      </c>
      <c r="Y206" t="s">
        <v>418</v>
      </c>
      <c r="Z206">
        <v>0</v>
      </c>
    </row>
    <row r="207" spans="1:26" x14ac:dyDescent="0.25">
      <c r="A207" t="str">
        <v>PAN CORRIENTE O COMUN</v>
      </c>
      <c r="B207" t="str">
        <v>Callao</v>
      </c>
      <c r="C207">
        <v>2</v>
      </c>
      <c r="X207" t="s">
        <v>89</v>
      </c>
      <c r="Y207" t="s">
        <v>418</v>
      </c>
      <c r="Z207">
        <v>8</v>
      </c>
    </row>
    <row r="208" spans="1:26" x14ac:dyDescent="0.25">
      <c r="A208" t="str">
        <v>MARACUYA</v>
      </c>
      <c r="B208" t="str">
        <v>Callao</v>
      </c>
      <c r="C208">
        <v>0</v>
      </c>
      <c r="X208" t="s">
        <v>99</v>
      </c>
      <c r="Y208" t="s">
        <v>418</v>
      </c>
      <c r="Z208">
        <v>1</v>
      </c>
    </row>
    <row r="209" spans="1:26" x14ac:dyDescent="0.25">
      <c r="A209" t="str">
        <v>PECHUGA DE POLLO</v>
      </c>
      <c r="B209" t="str">
        <v>Callao</v>
      </c>
      <c r="C209">
        <v>8</v>
      </c>
      <c r="X209" t="s">
        <v>106</v>
      </c>
      <c r="Y209" t="s">
        <v>418</v>
      </c>
      <c r="Z209">
        <v>11</v>
      </c>
    </row>
    <row r="210" spans="1:26" x14ac:dyDescent="0.25">
      <c r="A210" t="str">
        <v>LENTEJA A GRANEL</v>
      </c>
      <c r="B210" t="str">
        <v>Callao</v>
      </c>
      <c r="C210">
        <v>1</v>
      </c>
      <c r="X210" t="s">
        <v>28</v>
      </c>
      <c r="Y210" t="s">
        <v>418</v>
      </c>
      <c r="Z210">
        <v>7</v>
      </c>
    </row>
    <row r="211" spans="1:26" x14ac:dyDescent="0.25">
      <c r="A211" t="str">
        <v>AJO ENTERO SIN PELAR</v>
      </c>
      <c r="B211" t="str">
        <v>Callao</v>
      </c>
      <c r="C211">
        <v>11</v>
      </c>
      <c r="X211" t="s">
        <v>107</v>
      </c>
      <c r="Y211" t="s">
        <v>418</v>
      </c>
      <c r="Z211">
        <v>0</v>
      </c>
    </row>
    <row r="212" spans="1:26" x14ac:dyDescent="0.25">
      <c r="A212" t="str">
        <v>ACEITE VEGETAL ENVASADO</v>
      </c>
      <c r="B212" t="str">
        <v>Callao</v>
      </c>
      <c r="C212">
        <v>7</v>
      </c>
      <c r="X212" t="s">
        <v>37</v>
      </c>
      <c r="Y212" t="s">
        <v>418</v>
      </c>
      <c r="Z212">
        <v>6</v>
      </c>
    </row>
    <row r="213" spans="1:26" x14ac:dyDescent="0.25">
      <c r="A213" t="str">
        <v>PAPA AMARILLA</v>
      </c>
      <c r="B213" t="str">
        <v>Callao</v>
      </c>
      <c r="C213">
        <v>0</v>
      </c>
      <c r="X213" t="s">
        <v>150</v>
      </c>
      <c r="Y213" t="s">
        <v>418</v>
      </c>
      <c r="Z213">
        <v>8</v>
      </c>
    </row>
    <row r="214" spans="1:26" x14ac:dyDescent="0.25">
      <c r="A214" t="str">
        <v>PLATANO VERDE</v>
      </c>
      <c r="B214" t="str">
        <v>Callao</v>
      </c>
      <c r="C214">
        <v>6</v>
      </c>
      <c r="X214" t="s">
        <v>67</v>
      </c>
      <c r="Y214" t="s">
        <v>418</v>
      </c>
      <c r="Z214">
        <v>1</v>
      </c>
    </row>
    <row r="215" spans="1:26" x14ac:dyDescent="0.25">
      <c r="A215" t="str">
        <v>BONITO FRESCO</v>
      </c>
      <c r="B215" t="str">
        <v>Callao</v>
      </c>
      <c r="C215">
        <v>8</v>
      </c>
      <c r="X215" t="s">
        <v>151</v>
      </c>
      <c r="Y215" t="s">
        <v>418</v>
      </c>
      <c r="Z215">
        <v>1</v>
      </c>
    </row>
    <row r="216" spans="1:26" x14ac:dyDescent="0.25">
      <c r="A216" t="str">
        <v>ALBAHACA ENTERA</v>
      </c>
      <c r="B216" t="str">
        <v>Callao</v>
      </c>
      <c r="C216">
        <v>1</v>
      </c>
      <c r="X216" t="s">
        <v>152</v>
      </c>
      <c r="Y216" t="s">
        <v>418</v>
      </c>
      <c r="Z216">
        <v>0</v>
      </c>
    </row>
    <row r="217" spans="1:26" x14ac:dyDescent="0.25">
      <c r="A217" t="str">
        <v>ARVERJA VERDE CRIOLLA CON VAINA</v>
      </c>
      <c r="B217" t="str">
        <v>Callao</v>
      </c>
      <c r="C217">
        <v>1</v>
      </c>
      <c r="X217" t="s">
        <v>89</v>
      </c>
      <c r="Y217" t="s">
        <v>418</v>
      </c>
      <c r="Z217">
        <v>4</v>
      </c>
    </row>
    <row r="218" spans="1:26" x14ac:dyDescent="0.25">
      <c r="A218" t="str">
        <v>PALILLO ENVASADO</v>
      </c>
      <c r="B218" t="str">
        <v>Callao</v>
      </c>
      <c r="C218">
        <v>0</v>
      </c>
      <c r="X218" t="s">
        <v>122</v>
      </c>
      <c r="Y218" t="s">
        <v>418</v>
      </c>
      <c r="Z218">
        <v>5</v>
      </c>
    </row>
    <row r="219" spans="1:26" x14ac:dyDescent="0.25">
      <c r="A219" t="str">
        <v>PECHUGA DE POLLO</v>
      </c>
      <c r="B219" t="str">
        <v>Callao</v>
      </c>
      <c r="C219">
        <v>4</v>
      </c>
      <c r="X219" t="s">
        <v>59</v>
      </c>
      <c r="Y219" t="s">
        <v>418</v>
      </c>
      <c r="Z219">
        <v>4</v>
      </c>
    </row>
    <row r="220" spans="1:26" x14ac:dyDescent="0.25">
      <c r="A220" t="str">
        <v>CENA MENU</v>
      </c>
      <c r="B220" t="str">
        <v>Callao</v>
      </c>
      <c r="C220">
        <v>5</v>
      </c>
      <c r="X220" t="s">
        <v>153</v>
      </c>
      <c r="Y220" t="s">
        <v>418</v>
      </c>
      <c r="Z220">
        <v>3</v>
      </c>
    </row>
    <row r="221" spans="1:26" x14ac:dyDescent="0.25">
      <c r="A221" t="str">
        <v>SIERRA FRESCA</v>
      </c>
      <c r="B221" t="str">
        <v>Callao</v>
      </c>
      <c r="C221">
        <v>4</v>
      </c>
      <c r="X221" t="s">
        <v>100</v>
      </c>
      <c r="Y221" t="s">
        <v>418</v>
      </c>
      <c r="Z221">
        <v>5</v>
      </c>
    </row>
    <row r="222" spans="1:26" x14ac:dyDescent="0.25">
      <c r="A222" t="str">
        <v>VERDURA PICADA</v>
      </c>
      <c r="B222" t="str">
        <v>Callao</v>
      </c>
      <c r="C222">
        <v>3</v>
      </c>
      <c r="X222" t="s">
        <v>25</v>
      </c>
      <c r="Y222" t="s">
        <v>418</v>
      </c>
      <c r="Z222">
        <v>4</v>
      </c>
    </row>
    <row r="223" spans="1:26" x14ac:dyDescent="0.25">
      <c r="A223" t="str">
        <v>CARNE DE RES SIN HUESO</v>
      </c>
      <c r="B223" t="str">
        <v>Callao</v>
      </c>
      <c r="C223">
        <v>5</v>
      </c>
      <c r="X223" t="s">
        <v>122</v>
      </c>
      <c r="Y223" t="s">
        <v>418</v>
      </c>
      <c r="Z223">
        <v>20</v>
      </c>
    </row>
    <row r="224" spans="1:26" x14ac:dyDescent="0.25">
      <c r="A224" t="str">
        <v>PALTA CRIOLLA</v>
      </c>
      <c r="B224" t="str">
        <v>Callao</v>
      </c>
      <c r="C224">
        <v>4</v>
      </c>
      <c r="X224" t="s">
        <v>154</v>
      </c>
      <c r="Y224" t="s">
        <v>418</v>
      </c>
      <c r="Z224">
        <v>4</v>
      </c>
    </row>
    <row r="225" spans="1:26" x14ac:dyDescent="0.25">
      <c r="A225" t="str">
        <v>CENA MENU</v>
      </c>
      <c r="B225" t="str">
        <v>Callao</v>
      </c>
      <c r="C225">
        <v>20</v>
      </c>
      <c r="X225" t="s">
        <v>150</v>
      </c>
      <c r="Y225" t="s">
        <v>418</v>
      </c>
      <c r="Z225">
        <v>5</v>
      </c>
    </row>
    <row r="226" spans="1:26" x14ac:dyDescent="0.25">
      <c r="A226" t="str">
        <v>MONDONGO DE RES</v>
      </c>
      <c r="B226" t="str">
        <v>Callao</v>
      </c>
      <c r="C226">
        <v>4</v>
      </c>
      <c r="X226" t="s">
        <v>37</v>
      </c>
      <c r="Y226" t="s">
        <v>418</v>
      </c>
      <c r="Z226">
        <v>3</v>
      </c>
    </row>
    <row r="227" spans="1:26" x14ac:dyDescent="0.25">
      <c r="A227" t="str">
        <v>BONITO FRESCO</v>
      </c>
      <c r="B227" t="str">
        <v>Callao</v>
      </c>
      <c r="C227">
        <v>5</v>
      </c>
      <c r="X227" t="s">
        <v>149</v>
      </c>
      <c r="Y227" t="s">
        <v>418</v>
      </c>
      <c r="Z227">
        <v>1</v>
      </c>
    </row>
    <row r="228" spans="1:26" x14ac:dyDescent="0.25">
      <c r="A228" t="str">
        <v>PLATANO VERDE</v>
      </c>
      <c r="B228" t="str">
        <v>Callao</v>
      </c>
      <c r="C228">
        <v>3</v>
      </c>
      <c r="X228" t="s">
        <v>155</v>
      </c>
      <c r="Y228" t="s">
        <v>418</v>
      </c>
      <c r="Z228">
        <v>8</v>
      </c>
    </row>
    <row r="229" spans="1:26" x14ac:dyDescent="0.25">
      <c r="A229" t="str">
        <v>PAN CORRIENTE O COMUN</v>
      </c>
      <c r="B229" t="str">
        <v>Callao</v>
      </c>
      <c r="C229">
        <v>1</v>
      </c>
      <c r="X229" t="s">
        <v>6</v>
      </c>
      <c r="Y229" t="s">
        <v>418</v>
      </c>
      <c r="Z229">
        <v>3</v>
      </c>
    </row>
    <row r="230" spans="1:26" x14ac:dyDescent="0.25">
      <c r="A230" t="str">
        <v>ZUCO FRESCO</v>
      </c>
      <c r="B230" t="str">
        <v>Callao</v>
      </c>
      <c r="C230">
        <v>8</v>
      </c>
      <c r="X230" t="s">
        <v>156</v>
      </c>
      <c r="Y230" t="s">
        <v>418</v>
      </c>
      <c r="Z230">
        <v>1</v>
      </c>
    </row>
    <row r="231" spans="1:26" x14ac:dyDescent="0.25">
      <c r="A231" t="str">
        <v>CEBOLLA ROJA</v>
      </c>
      <c r="B231" t="str">
        <v>Callao</v>
      </c>
      <c r="C231">
        <v>3</v>
      </c>
      <c r="X231" t="s">
        <v>103</v>
      </c>
      <c r="Y231" t="s">
        <v>418</v>
      </c>
      <c r="Z231">
        <v>0</v>
      </c>
    </row>
    <row r="232" spans="1:26" x14ac:dyDescent="0.25">
      <c r="A232" t="str">
        <v>ACEITUNA NEGRA A GRANEL</v>
      </c>
      <c r="B232" t="str">
        <v>Callao</v>
      </c>
      <c r="C232">
        <v>1</v>
      </c>
      <c r="X232" t="s">
        <v>3</v>
      </c>
      <c r="Y232" t="s">
        <v>418</v>
      </c>
      <c r="Z232">
        <v>4</v>
      </c>
    </row>
    <row r="233" spans="1:26" x14ac:dyDescent="0.25">
      <c r="A233" t="str">
        <v>CANELA ENTERA A GRANEL</v>
      </c>
      <c r="B233" t="str">
        <v>Callao</v>
      </c>
      <c r="C233">
        <v>0</v>
      </c>
      <c r="X233" t="s">
        <v>157</v>
      </c>
      <c r="Y233" t="s">
        <v>418</v>
      </c>
      <c r="Z233">
        <v>12</v>
      </c>
    </row>
    <row r="234" spans="1:26" x14ac:dyDescent="0.25">
      <c r="A234" t="str">
        <v>ARROZ CORRIENTE A GRANEL</v>
      </c>
      <c r="B234" t="str">
        <v>Callao</v>
      </c>
      <c r="C234">
        <v>4</v>
      </c>
      <c r="X234" t="s">
        <v>158</v>
      </c>
      <c r="Y234" t="s">
        <v>418</v>
      </c>
      <c r="Z234">
        <v>0</v>
      </c>
    </row>
    <row r="235" spans="1:26" x14ac:dyDescent="0.25">
      <c r="A235" t="str">
        <v>CACHEMA FRESCA</v>
      </c>
      <c r="B235" t="str">
        <v>Callao</v>
      </c>
      <c r="C235">
        <v>12</v>
      </c>
      <c r="X235" t="s">
        <v>159</v>
      </c>
      <c r="Y235" t="s">
        <v>418</v>
      </c>
      <c r="Z235">
        <v>0</v>
      </c>
    </row>
    <row r="236" spans="1:26" x14ac:dyDescent="0.25">
      <c r="A236" t="str">
        <v>SAZONADOR EN POLVO ENVASADO</v>
      </c>
      <c r="B236" t="str">
        <v>Callao</v>
      </c>
      <c r="C236">
        <v>0</v>
      </c>
      <c r="X236" t="s">
        <v>160</v>
      </c>
      <c r="Y236" t="s">
        <v>418</v>
      </c>
      <c r="Z236">
        <v>2</v>
      </c>
    </row>
    <row r="237" spans="1:26" x14ac:dyDescent="0.25">
      <c r="A237" t="str">
        <v>AJO ENTERO A GRANEL</v>
      </c>
      <c r="B237" t="str">
        <v>Callao</v>
      </c>
      <c r="C237">
        <v>0</v>
      </c>
      <c r="X237" t="s">
        <v>161</v>
      </c>
      <c r="Y237" t="s">
        <v>418</v>
      </c>
      <c r="Z237">
        <v>3</v>
      </c>
    </row>
    <row r="238" spans="1:26" x14ac:dyDescent="0.25">
      <c r="A238" t="str">
        <v>GELATINA ENVASADA</v>
      </c>
      <c r="B238" t="str">
        <v>Callao</v>
      </c>
      <c r="C238">
        <v>2</v>
      </c>
      <c r="X238" t="s">
        <v>162</v>
      </c>
      <c r="Y238" t="s">
        <v>418</v>
      </c>
      <c r="Z238">
        <v>0</v>
      </c>
    </row>
    <row r="239" spans="1:26" x14ac:dyDescent="0.25">
      <c r="A239" t="str">
        <v>FIDEOS DE PASTA LARGA ENVASADOS</v>
      </c>
      <c r="B239" t="str">
        <v>Callao</v>
      </c>
      <c r="C239">
        <v>3</v>
      </c>
      <c r="X239" t="s">
        <v>163</v>
      </c>
      <c r="Y239" t="s">
        <v>418</v>
      </c>
      <c r="Z239">
        <v>0</v>
      </c>
    </row>
    <row r="240" spans="1:26" x14ac:dyDescent="0.25">
      <c r="A240" t="str">
        <v>ESPINACA</v>
      </c>
      <c r="B240" t="str">
        <v>Callao</v>
      </c>
      <c r="C240">
        <v>0</v>
      </c>
      <c r="X240" t="s">
        <v>164</v>
      </c>
      <c r="Y240" t="s">
        <v>418</v>
      </c>
      <c r="Z240">
        <v>0</v>
      </c>
    </row>
    <row r="241" spans="1:26" x14ac:dyDescent="0.25">
      <c r="A241" t="str">
        <v>PIMIENTA MOLIDA ENVASADA</v>
      </c>
      <c r="B241" t="str">
        <v>Callao</v>
      </c>
      <c r="C241">
        <v>0</v>
      </c>
      <c r="X241" t="s">
        <v>165</v>
      </c>
      <c r="Y241" t="s">
        <v>418</v>
      </c>
      <c r="Z241">
        <v>13</v>
      </c>
    </row>
    <row r="242" spans="1:26" x14ac:dyDescent="0.25">
      <c r="A242" t="str">
        <v>COMINO MOLIDO ENVASADO</v>
      </c>
      <c r="B242" t="str">
        <v>Callao</v>
      </c>
      <c r="C242">
        <v>0</v>
      </c>
      <c r="X242" t="s">
        <v>46</v>
      </c>
      <c r="Y242" t="s">
        <v>418</v>
      </c>
      <c r="Z242">
        <v>28</v>
      </c>
    </row>
    <row r="243" spans="1:26" x14ac:dyDescent="0.25">
      <c r="A243" t="str">
        <v>CHURRASCO DE RES</v>
      </c>
      <c r="B243" t="str">
        <v>Callao</v>
      </c>
      <c r="C243">
        <v>13</v>
      </c>
      <c r="X243" t="s">
        <v>166</v>
      </c>
      <c r="Y243" t="s">
        <v>418</v>
      </c>
      <c r="Z243">
        <v>7</v>
      </c>
    </row>
    <row r="244" spans="1:26" x14ac:dyDescent="0.25">
      <c r="A244" t="str">
        <v>POLLO A LA BRASA</v>
      </c>
      <c r="B244" t="str">
        <v>Callao</v>
      </c>
      <c r="C244">
        <v>28</v>
      </c>
      <c r="X244" t="s">
        <v>167</v>
      </c>
      <c r="Y244" t="s">
        <v>418</v>
      </c>
      <c r="Z244">
        <v>1</v>
      </c>
    </row>
    <row r="245" spans="1:26" x14ac:dyDescent="0.25">
      <c r="A245" t="str">
        <v>AGUA DE TAMARINDO SERVIDO</v>
      </c>
      <c r="B245" t="str">
        <v>Callao</v>
      </c>
      <c r="C245">
        <v>7</v>
      </c>
      <c r="X245" t="s">
        <v>168</v>
      </c>
      <c r="Y245" t="s">
        <v>418</v>
      </c>
      <c r="Z245">
        <v>3</v>
      </c>
    </row>
    <row r="246" spans="1:26" x14ac:dyDescent="0.25">
      <c r="A246" t="str">
        <v>HARINA DE TRIGO SIN PREPARAR ENVASADA</v>
      </c>
      <c r="B246" t="str">
        <v>Callao</v>
      </c>
      <c r="C246">
        <v>1</v>
      </c>
      <c r="X246" t="s">
        <v>169</v>
      </c>
      <c r="Y246" t="s">
        <v>418</v>
      </c>
      <c r="Z246">
        <v>1</v>
      </c>
    </row>
    <row r="247" spans="1:26" x14ac:dyDescent="0.25">
      <c r="A247" t="str">
        <v>MOLLEJAS DE POLLO</v>
      </c>
      <c r="B247" t="str">
        <v>Callao</v>
      </c>
      <c r="C247">
        <v>3</v>
      </c>
      <c r="X247" t="s">
        <v>89</v>
      </c>
      <c r="Y247" t="s">
        <v>418</v>
      </c>
      <c r="Z247">
        <v>7</v>
      </c>
    </row>
    <row r="248" spans="1:26" x14ac:dyDescent="0.25">
      <c r="A248" t="str">
        <v>GELATINA A GRANEL</v>
      </c>
      <c r="B248" t="str">
        <v>Callao</v>
      </c>
      <c r="C248">
        <v>1</v>
      </c>
      <c r="X248" t="s">
        <v>151</v>
      </c>
      <c r="Y248" t="s">
        <v>418</v>
      </c>
      <c r="Z248">
        <v>0</v>
      </c>
    </row>
    <row r="249" spans="1:26" x14ac:dyDescent="0.25">
      <c r="A249" t="str">
        <v>PECHUGA DE POLLO</v>
      </c>
      <c r="B249" t="str">
        <v>Callao</v>
      </c>
      <c r="C249">
        <v>7</v>
      </c>
      <c r="X249" t="s">
        <v>25</v>
      </c>
      <c r="Y249" t="s">
        <v>418</v>
      </c>
      <c r="Z249">
        <v>2</v>
      </c>
    </row>
    <row r="250" spans="1:26" x14ac:dyDescent="0.25">
      <c r="A250" t="str">
        <v>ARVERJA VERDE CRIOLLA CON VAINA</v>
      </c>
      <c r="B250" t="str">
        <v>Callao</v>
      </c>
      <c r="C250">
        <v>0</v>
      </c>
      <c r="X250" t="s">
        <v>1</v>
      </c>
      <c r="Y250" t="s">
        <v>418</v>
      </c>
      <c r="Z250">
        <v>0</v>
      </c>
    </row>
    <row r="251" spans="1:26" x14ac:dyDescent="0.25">
      <c r="A251" t="str">
        <v>PALTA CRIOLLA</v>
      </c>
      <c r="B251" t="str">
        <v>Callao</v>
      </c>
      <c r="C251">
        <v>2</v>
      </c>
      <c r="X251" t="s">
        <v>170</v>
      </c>
      <c r="Y251" t="s">
        <v>418</v>
      </c>
      <c r="Z251">
        <v>1</v>
      </c>
    </row>
    <row r="252" spans="1:26" x14ac:dyDescent="0.25">
      <c r="A252" t="str">
        <v>HUEVO DE GALLINA ROSADO A GRANEL</v>
      </c>
      <c r="B252" t="str">
        <v>Callao</v>
      </c>
      <c r="C252">
        <v>0</v>
      </c>
      <c r="X252" t="s">
        <v>171</v>
      </c>
      <c r="Y252" t="s">
        <v>418</v>
      </c>
      <c r="Z252">
        <v>4</v>
      </c>
    </row>
    <row r="253" spans="1:26" x14ac:dyDescent="0.25">
      <c r="A253" t="str">
        <v>PI A ENTERA</v>
      </c>
      <c r="B253" t="str">
        <v>Callao</v>
      </c>
      <c r="C253">
        <v>1</v>
      </c>
      <c r="X253" t="s">
        <v>97</v>
      </c>
      <c r="Y253" t="s">
        <v>418</v>
      </c>
      <c r="Z253">
        <v>2</v>
      </c>
    </row>
    <row r="254" spans="1:26" x14ac:dyDescent="0.25">
      <c r="A254" t="str">
        <v>PASAJE EN MOTOKAR</v>
      </c>
      <c r="B254" t="str">
        <v>Callao</v>
      </c>
      <c r="C254">
        <v>4</v>
      </c>
      <c r="X254" t="s">
        <v>172</v>
      </c>
      <c r="Y254" t="s">
        <v>418</v>
      </c>
      <c r="Z254">
        <v>6</v>
      </c>
    </row>
    <row r="255" spans="1:26" x14ac:dyDescent="0.25">
      <c r="A255" t="str">
        <v>MORTADELA ENVASADA</v>
      </c>
      <c r="B255" t="str">
        <v>Callao</v>
      </c>
      <c r="C255">
        <v>2</v>
      </c>
      <c r="X255" t="s">
        <v>173</v>
      </c>
      <c r="Y255" t="s">
        <v>418</v>
      </c>
      <c r="Z255">
        <v>8</v>
      </c>
    </row>
    <row r="256" spans="1:26" x14ac:dyDescent="0.25">
      <c r="A256" t="str">
        <v>MANTEQUILLA ENVASADA</v>
      </c>
      <c r="B256" t="str">
        <v>Callao</v>
      </c>
      <c r="C256">
        <v>6</v>
      </c>
      <c r="X256" t="s">
        <v>174</v>
      </c>
      <c r="Y256" t="s">
        <v>418</v>
      </c>
      <c r="Z256">
        <v>0</v>
      </c>
    </row>
    <row r="257" spans="1:26" x14ac:dyDescent="0.25">
      <c r="A257" t="str">
        <v>MOLLEJA DE POLLO</v>
      </c>
      <c r="B257" t="str">
        <v>Callao</v>
      </c>
      <c r="C257">
        <v>8</v>
      </c>
      <c r="X257" t="s">
        <v>19</v>
      </c>
      <c r="Y257" t="s">
        <v>418</v>
      </c>
      <c r="Z257">
        <v>4</v>
      </c>
    </row>
    <row r="258" spans="1:26" x14ac:dyDescent="0.25">
      <c r="A258" t="str">
        <v>CLAVO ENTERO A GRANEL</v>
      </c>
      <c r="B258" t="str">
        <v>Callao</v>
      </c>
      <c r="C258">
        <v>0</v>
      </c>
      <c r="X258" t="s">
        <v>80</v>
      </c>
      <c r="Y258" t="s">
        <v>418</v>
      </c>
      <c r="Z258">
        <v>3</v>
      </c>
    </row>
    <row r="259" spans="1:26" x14ac:dyDescent="0.25">
      <c r="A259" t="str">
        <v>QUESO FRESCO VACA</v>
      </c>
      <c r="B259" t="str">
        <v>Callao</v>
      </c>
      <c r="C259">
        <v>4</v>
      </c>
      <c r="X259" t="s">
        <v>161</v>
      </c>
      <c r="Y259" t="s">
        <v>418</v>
      </c>
      <c r="Z259">
        <v>2</v>
      </c>
    </row>
    <row r="260" spans="1:26" x14ac:dyDescent="0.25">
      <c r="A260" t="str">
        <v>MANDARINA</v>
      </c>
      <c r="B260" t="str">
        <v>Callao</v>
      </c>
      <c r="C260">
        <v>3</v>
      </c>
      <c r="X260" t="s">
        <v>162</v>
      </c>
      <c r="Y260" t="s">
        <v>418</v>
      </c>
      <c r="Z260">
        <v>1</v>
      </c>
    </row>
    <row r="261" spans="1:26" x14ac:dyDescent="0.25">
      <c r="A261" t="str">
        <v>FIDEOS DE PASTA LARGA ENVASADOS</v>
      </c>
      <c r="B261" t="str">
        <v>Callao</v>
      </c>
      <c r="C261">
        <v>2</v>
      </c>
      <c r="X261" t="s">
        <v>175</v>
      </c>
      <c r="Y261" t="s">
        <v>418</v>
      </c>
      <c r="Z261">
        <v>0</v>
      </c>
    </row>
    <row r="262" spans="1:26" x14ac:dyDescent="0.25">
      <c r="A262" t="str">
        <v>ESPINACA</v>
      </c>
      <c r="B262" t="str">
        <v>Callao</v>
      </c>
      <c r="C262">
        <v>1</v>
      </c>
      <c r="X262" t="s">
        <v>176</v>
      </c>
      <c r="Y262" t="s">
        <v>418</v>
      </c>
      <c r="Z262">
        <v>1</v>
      </c>
    </row>
    <row r="263" spans="1:26" x14ac:dyDescent="0.25">
      <c r="A263" t="str">
        <v>AJI PANCA MOLIDO</v>
      </c>
      <c r="B263" t="str">
        <v>Callao</v>
      </c>
      <c r="C263">
        <v>0</v>
      </c>
      <c r="X263" t="s">
        <v>89</v>
      </c>
      <c r="Y263" t="s">
        <v>418</v>
      </c>
      <c r="Z263">
        <v>6</v>
      </c>
    </row>
    <row r="264" spans="1:26" x14ac:dyDescent="0.25">
      <c r="A264" t="str">
        <v>PRODUCTO ACHOCOLATADO EN POLVO</v>
      </c>
      <c r="B264" t="str">
        <v>Callao</v>
      </c>
      <c r="C264">
        <v>1</v>
      </c>
      <c r="X264" t="s">
        <v>8</v>
      </c>
      <c r="Y264" t="s">
        <v>418</v>
      </c>
      <c r="Z264">
        <v>0</v>
      </c>
    </row>
    <row r="265" spans="1:26" x14ac:dyDescent="0.25">
      <c r="A265" t="str">
        <v>PECHUGA DE POLLO</v>
      </c>
      <c r="B265" t="str">
        <v>Callao</v>
      </c>
      <c r="C265">
        <v>6</v>
      </c>
      <c r="X265" t="s">
        <v>177</v>
      </c>
      <c r="Y265" t="s">
        <v>418</v>
      </c>
      <c r="Z265">
        <v>2</v>
      </c>
    </row>
    <row r="266" spans="1:26" x14ac:dyDescent="0.25">
      <c r="A266" t="str">
        <v>ZAPALLO MACRE</v>
      </c>
      <c r="B266" t="str">
        <v>Callao</v>
      </c>
      <c r="C266">
        <v>0</v>
      </c>
      <c r="X266" t="s">
        <v>178</v>
      </c>
      <c r="Y266" t="s">
        <v>418</v>
      </c>
      <c r="Z266">
        <v>70</v>
      </c>
    </row>
    <row r="267" spans="1:26" x14ac:dyDescent="0.25">
      <c r="A267" t="str">
        <v>MENUDENCIA DE POLLO</v>
      </c>
      <c r="B267" t="str">
        <v>Callao</v>
      </c>
      <c r="C267">
        <v>2</v>
      </c>
      <c r="X267" t="s">
        <v>32</v>
      </c>
      <c r="Y267" t="s">
        <v>418</v>
      </c>
      <c r="Z267">
        <v>5</v>
      </c>
    </row>
    <row r="268" spans="1:26" x14ac:dyDescent="0.25">
      <c r="A268" t="str">
        <v>CERVEZA BLANCA</v>
      </c>
      <c r="B268" t="str">
        <v>Callao</v>
      </c>
      <c r="C268">
        <v>70</v>
      </c>
      <c r="X268" t="s">
        <v>179</v>
      </c>
      <c r="Y268" t="s">
        <v>418</v>
      </c>
      <c r="Z268">
        <v>5</v>
      </c>
    </row>
    <row r="269" spans="1:26" x14ac:dyDescent="0.25">
      <c r="A269" t="str">
        <v>FRESA</v>
      </c>
      <c r="B269" t="str">
        <v>Callao</v>
      </c>
      <c r="C269">
        <v>5</v>
      </c>
      <c r="X269" t="s">
        <v>2</v>
      </c>
      <c r="Y269" t="s">
        <v>418</v>
      </c>
      <c r="Z269">
        <v>4</v>
      </c>
    </row>
    <row r="270" spans="1:26" x14ac:dyDescent="0.25">
      <c r="A270" t="str">
        <v>MORAS</v>
      </c>
      <c r="B270" t="str">
        <v>Callao</v>
      </c>
      <c r="C270">
        <v>5</v>
      </c>
      <c r="X270" t="s">
        <v>87</v>
      </c>
      <c r="Y270" t="s">
        <v>418</v>
      </c>
      <c r="Z270">
        <v>60</v>
      </c>
    </row>
    <row r="271" spans="1:26" x14ac:dyDescent="0.25">
      <c r="A271" t="str">
        <v>LECHE EVAPORADA</v>
      </c>
      <c r="B271" t="str">
        <v>Callao</v>
      </c>
      <c r="C271">
        <v>4</v>
      </c>
      <c r="X271" t="s">
        <v>75</v>
      </c>
      <c r="Y271" t="s">
        <v>418</v>
      </c>
      <c r="Z271">
        <v>1</v>
      </c>
    </row>
    <row r="272" spans="1:26" x14ac:dyDescent="0.25">
      <c r="A272" t="str">
        <v>CEVICHE MIXTO</v>
      </c>
      <c r="B272" t="str">
        <v>Callao</v>
      </c>
      <c r="C272">
        <v>60</v>
      </c>
      <c r="X272" t="s">
        <v>87</v>
      </c>
      <c r="Y272" t="s">
        <v>418</v>
      </c>
      <c r="Z272">
        <v>6</v>
      </c>
    </row>
    <row r="273" spans="1:26" x14ac:dyDescent="0.25">
      <c r="A273" t="str">
        <v>GASEOSA NO RETORNABLE</v>
      </c>
      <c r="B273" t="str">
        <v>Callao</v>
      </c>
      <c r="C273">
        <v>1</v>
      </c>
      <c r="X273" t="s">
        <v>149</v>
      </c>
      <c r="Y273" t="s">
        <v>418</v>
      </c>
      <c r="Z273">
        <v>0</v>
      </c>
    </row>
    <row r="274" spans="1:26" x14ac:dyDescent="0.25">
      <c r="A274" t="str">
        <v>CEVICHE MIXTO</v>
      </c>
      <c r="B274" t="str">
        <v>Callao</v>
      </c>
      <c r="C274">
        <v>6</v>
      </c>
      <c r="X274" t="s">
        <v>180</v>
      </c>
      <c r="Y274" t="s">
        <v>418</v>
      </c>
      <c r="Z274">
        <v>5</v>
      </c>
    </row>
    <row r="275" spans="1:26" x14ac:dyDescent="0.25">
      <c r="A275" t="str">
        <v>PAN CORRIENTE O COMUN</v>
      </c>
      <c r="B275" t="str">
        <v>Callao</v>
      </c>
      <c r="C275">
        <v>0</v>
      </c>
      <c r="X275" t="s">
        <v>181</v>
      </c>
      <c r="Y275" t="s">
        <v>418</v>
      </c>
      <c r="Z275">
        <v>10</v>
      </c>
    </row>
    <row r="276" spans="1:26" x14ac:dyDescent="0.25">
      <c r="A276" t="str">
        <v>MISTURIADO PREPARADO</v>
      </c>
      <c r="B276" t="str">
        <v>Callao</v>
      </c>
      <c r="C276">
        <v>5</v>
      </c>
      <c r="X276" t="s">
        <v>3</v>
      </c>
      <c r="Y276" t="s">
        <v>418</v>
      </c>
      <c r="Z276">
        <v>2</v>
      </c>
    </row>
    <row r="277" spans="1:26" x14ac:dyDescent="0.25">
      <c r="A277" t="str">
        <v>ARROZ CHAUFA</v>
      </c>
      <c r="B277" t="str">
        <v>Callao</v>
      </c>
      <c r="C277">
        <v>10</v>
      </c>
      <c r="X277" t="s">
        <v>122</v>
      </c>
      <c r="Y277" t="s">
        <v>418</v>
      </c>
      <c r="Z277">
        <v>10</v>
      </c>
    </row>
    <row r="278" spans="1:26" x14ac:dyDescent="0.25">
      <c r="A278" t="str">
        <v>ARROZ CORRIENTE A GRANEL</v>
      </c>
      <c r="B278" t="str">
        <v>Callao</v>
      </c>
      <c r="C278">
        <v>2</v>
      </c>
      <c r="X278" t="s">
        <v>122</v>
      </c>
      <c r="Y278" t="s">
        <v>418</v>
      </c>
      <c r="Z278">
        <v>14</v>
      </c>
    </row>
    <row r="279" spans="1:26" x14ac:dyDescent="0.25">
      <c r="A279" t="str">
        <v>CENA MENU</v>
      </c>
      <c r="B279" t="str">
        <v>Callao</v>
      </c>
      <c r="C279">
        <v>10</v>
      </c>
      <c r="X279" t="s">
        <v>182</v>
      </c>
      <c r="Y279" t="s">
        <v>418</v>
      </c>
      <c r="Z279">
        <v>0</v>
      </c>
    </row>
    <row r="280" spans="1:26" x14ac:dyDescent="0.25">
      <c r="A280" t="str">
        <v>CENA MENU</v>
      </c>
      <c r="B280" t="str">
        <v>Callao</v>
      </c>
      <c r="C280">
        <v>14</v>
      </c>
      <c r="X280" t="s">
        <v>183</v>
      </c>
      <c r="Y280" t="s">
        <v>418</v>
      </c>
      <c r="Z280">
        <v>2</v>
      </c>
    </row>
    <row r="281" spans="1:26" x14ac:dyDescent="0.25">
      <c r="A281" t="str">
        <v>COCOA ENVASADA</v>
      </c>
      <c r="B281" t="str">
        <v>Callao</v>
      </c>
      <c r="C281">
        <v>0</v>
      </c>
      <c r="X281" t="s">
        <v>184</v>
      </c>
      <c r="Y281" t="s">
        <v>418</v>
      </c>
      <c r="Z281">
        <v>2</v>
      </c>
    </row>
    <row r="282" spans="1:26" x14ac:dyDescent="0.25">
      <c r="A282" t="str">
        <v>PASTA DENTAL GRANDE</v>
      </c>
      <c r="B282" t="str">
        <v>Callao</v>
      </c>
      <c r="C282">
        <v>2</v>
      </c>
      <c r="X282" t="s">
        <v>185</v>
      </c>
      <c r="Y282" t="s">
        <v>418</v>
      </c>
      <c r="Z282">
        <v>0</v>
      </c>
    </row>
    <row r="283" spans="1:26" x14ac:dyDescent="0.25">
      <c r="A283" t="str">
        <v>JABON DE TOCADOR EN BARRA</v>
      </c>
      <c r="B283" t="str">
        <v>Callao</v>
      </c>
      <c r="C283">
        <v>2</v>
      </c>
      <c r="X283" t="s">
        <v>42</v>
      </c>
      <c r="Y283" t="s">
        <v>418</v>
      </c>
      <c r="Z283">
        <v>0</v>
      </c>
    </row>
    <row r="284" spans="1:26" x14ac:dyDescent="0.25">
      <c r="A284" t="str">
        <v>TOMATE ROJO</v>
      </c>
      <c r="B284" t="str">
        <v>Callao</v>
      </c>
      <c r="C284">
        <v>0</v>
      </c>
      <c r="X284" t="s">
        <v>186</v>
      </c>
      <c r="Y284" t="s">
        <v>418</v>
      </c>
      <c r="Z284">
        <v>1</v>
      </c>
    </row>
    <row r="285" spans="1:26" x14ac:dyDescent="0.25">
      <c r="A285" t="str">
        <v>AVENA ENVASADA</v>
      </c>
      <c r="B285" t="str">
        <v>Callao</v>
      </c>
      <c r="C285">
        <v>0</v>
      </c>
      <c r="X285" t="s">
        <v>187</v>
      </c>
      <c r="Y285" t="s">
        <v>418</v>
      </c>
      <c r="Z285">
        <v>2</v>
      </c>
    </row>
    <row r="286" spans="1:26" x14ac:dyDescent="0.25">
      <c r="A286" t="str">
        <v>MEZCLA LACTEA COMPUESTA</v>
      </c>
      <c r="B286" t="str">
        <v>Callao</v>
      </c>
      <c r="C286">
        <v>1</v>
      </c>
      <c r="X286" t="s">
        <v>188</v>
      </c>
      <c r="Y286" t="s">
        <v>418</v>
      </c>
      <c r="Z286">
        <v>0</v>
      </c>
    </row>
    <row r="287" spans="1:26" x14ac:dyDescent="0.25">
      <c r="A287" t="str">
        <v>TAMAL POLLO SERVIDO</v>
      </c>
      <c r="B287" t="str">
        <v>Callao</v>
      </c>
      <c r="C287">
        <v>2</v>
      </c>
      <c r="X287" t="s">
        <v>189</v>
      </c>
      <c r="Y287" t="s">
        <v>418</v>
      </c>
      <c r="Z287">
        <v>1</v>
      </c>
    </row>
    <row r="288" spans="1:26" x14ac:dyDescent="0.25">
      <c r="A288" t="str">
        <v>CEBADA TOSTADA SOLUBLE</v>
      </c>
      <c r="B288" t="str">
        <v>Callao</v>
      </c>
      <c r="C288">
        <v>0</v>
      </c>
      <c r="X288" t="s">
        <v>3</v>
      </c>
      <c r="Y288" t="s">
        <v>418</v>
      </c>
      <c r="Z288">
        <v>1</v>
      </c>
    </row>
    <row r="289" spans="1:26" x14ac:dyDescent="0.25">
      <c r="A289" t="str">
        <v>REPOLLO</v>
      </c>
      <c r="B289" t="str">
        <v>Callao</v>
      </c>
      <c r="C289">
        <v>1</v>
      </c>
      <c r="X289" t="s">
        <v>190</v>
      </c>
      <c r="Y289" t="s">
        <v>418</v>
      </c>
      <c r="Z289">
        <v>1</v>
      </c>
    </row>
    <row r="290" spans="1:26" x14ac:dyDescent="0.25">
      <c r="A290" t="str">
        <v>ARROZ CORRIENTE A GRANEL</v>
      </c>
      <c r="B290" t="str">
        <v>Callao</v>
      </c>
      <c r="C290">
        <v>1</v>
      </c>
      <c r="X290" t="s">
        <v>191</v>
      </c>
      <c r="Y290" t="s">
        <v>418</v>
      </c>
      <c r="Z290">
        <v>1</v>
      </c>
    </row>
    <row r="291" spans="1:26" x14ac:dyDescent="0.25">
      <c r="A291" t="str">
        <v>ACEITE VEGETAL A GRANEL</v>
      </c>
      <c r="B291" t="str">
        <v>Callao</v>
      </c>
      <c r="C291">
        <v>1</v>
      </c>
      <c r="X291" t="s">
        <v>192</v>
      </c>
      <c r="Y291" t="s">
        <v>418</v>
      </c>
      <c r="Z291">
        <v>1</v>
      </c>
    </row>
    <row r="292" spans="1:26" x14ac:dyDescent="0.25">
      <c r="A292" t="str">
        <v>SOYA PREPARADA</v>
      </c>
      <c r="B292" t="str">
        <v>Callao</v>
      </c>
      <c r="C292">
        <v>1</v>
      </c>
      <c r="X292" t="s">
        <v>2</v>
      </c>
      <c r="Y292" t="s">
        <v>418</v>
      </c>
      <c r="Z292">
        <v>1</v>
      </c>
    </row>
    <row r="293" spans="1:26" x14ac:dyDescent="0.25">
      <c r="A293" t="str">
        <v>AGUA DE MANZANA</v>
      </c>
      <c r="B293" t="str">
        <v>Callao</v>
      </c>
      <c r="C293">
        <v>1</v>
      </c>
      <c r="X293" t="s">
        <v>193</v>
      </c>
      <c r="Y293" t="s">
        <v>418</v>
      </c>
      <c r="Z293">
        <v>2</v>
      </c>
    </row>
    <row r="294" spans="1:26" x14ac:dyDescent="0.25">
      <c r="A294" t="str">
        <v>LECHE EVAPORADA</v>
      </c>
      <c r="B294" t="str">
        <v>Callao</v>
      </c>
      <c r="C294">
        <v>1</v>
      </c>
      <c r="X294" t="s">
        <v>70</v>
      </c>
      <c r="Y294" t="s">
        <v>418</v>
      </c>
      <c r="Z294">
        <v>10</v>
      </c>
    </row>
    <row r="295" spans="1:26" x14ac:dyDescent="0.25">
      <c r="A295" t="str">
        <v>HIGADO DE POLLO</v>
      </c>
      <c r="B295" t="str">
        <v>Callao</v>
      </c>
      <c r="C295">
        <v>2</v>
      </c>
      <c r="X295" t="s">
        <v>194</v>
      </c>
      <c r="Y295" t="s">
        <v>418</v>
      </c>
      <c r="Z295">
        <v>1</v>
      </c>
    </row>
    <row r="296" spans="1:26" x14ac:dyDescent="0.25">
      <c r="A296" t="str">
        <v>ALMUERZO MENU</v>
      </c>
      <c r="B296" t="str">
        <v>Callao</v>
      </c>
      <c r="C296">
        <v>10</v>
      </c>
      <c r="X296" t="s">
        <v>195</v>
      </c>
      <c r="Y296" t="s">
        <v>418</v>
      </c>
      <c r="Z296">
        <v>20</v>
      </c>
    </row>
    <row r="297" spans="1:26" x14ac:dyDescent="0.25">
      <c r="A297" t="str">
        <v>AVENA PREPARADA</v>
      </c>
      <c r="B297" t="str">
        <v>Callao</v>
      </c>
      <c r="C297">
        <v>1</v>
      </c>
      <c r="X297" t="s">
        <v>187</v>
      </c>
      <c r="Y297" t="s">
        <v>418</v>
      </c>
      <c r="Z297">
        <v>1</v>
      </c>
    </row>
    <row r="298" spans="1:26" x14ac:dyDescent="0.25">
      <c r="A298" t="str">
        <v>CONSULTA AL CARDIOLOGO</v>
      </c>
      <c r="B298" t="str">
        <v>Callao</v>
      </c>
      <c r="C298">
        <v>20</v>
      </c>
      <c r="X298" t="s">
        <v>196</v>
      </c>
      <c r="Y298" t="s">
        <v>418</v>
      </c>
      <c r="Z298">
        <v>1</v>
      </c>
    </row>
    <row r="299" spans="1:26" x14ac:dyDescent="0.25">
      <c r="A299" t="str">
        <v>TAMAL POLLO SERVIDO</v>
      </c>
      <c r="B299" t="str">
        <v>Callao</v>
      </c>
      <c r="C299">
        <v>1</v>
      </c>
      <c r="X299" t="s">
        <v>19</v>
      </c>
      <c r="Y299" t="s">
        <v>418</v>
      </c>
      <c r="Z299">
        <v>7</v>
      </c>
    </row>
    <row r="300" spans="1:26" x14ac:dyDescent="0.25">
      <c r="A300" t="str">
        <v>CAFE SERVIDO</v>
      </c>
      <c r="B300" t="str">
        <v>Callao</v>
      </c>
      <c r="C300">
        <v>1</v>
      </c>
      <c r="X300" t="s">
        <v>5</v>
      </c>
      <c r="Y300" t="s">
        <v>418</v>
      </c>
      <c r="Z300">
        <v>2</v>
      </c>
    </row>
    <row r="301" spans="1:26" x14ac:dyDescent="0.25">
      <c r="A301" t="str">
        <v>QUESO FRESCO VACA</v>
      </c>
      <c r="B301" t="str">
        <v>Callao</v>
      </c>
      <c r="C301">
        <v>7</v>
      </c>
      <c r="X301" t="s">
        <v>197</v>
      </c>
      <c r="Y301" t="s">
        <v>418</v>
      </c>
      <c r="Z301">
        <v>0</v>
      </c>
    </row>
    <row r="302" spans="1:26" x14ac:dyDescent="0.25">
      <c r="A302" t="str">
        <v>TOMATE REDONDO</v>
      </c>
      <c r="B302" t="str">
        <v>Callao</v>
      </c>
      <c r="C302">
        <v>2</v>
      </c>
      <c r="X302" t="s">
        <v>198</v>
      </c>
      <c r="Y302" t="s">
        <v>418</v>
      </c>
      <c r="Z302">
        <v>14</v>
      </c>
    </row>
    <row r="303" spans="1:26" x14ac:dyDescent="0.25">
      <c r="A303" t="str">
        <v>HONGO Y LAUREL A GRANEL</v>
      </c>
      <c r="B303" t="str">
        <v>Callao</v>
      </c>
      <c r="C303">
        <v>0</v>
      </c>
      <c r="X303" t="s">
        <v>199</v>
      </c>
      <c r="Y303" t="s">
        <v>418</v>
      </c>
      <c r="Z303">
        <v>1</v>
      </c>
    </row>
    <row r="304" spans="1:26" x14ac:dyDescent="0.25">
      <c r="A304" t="str">
        <v>POLLO ENTERO EVISCERADO</v>
      </c>
      <c r="B304" t="str">
        <v>Callao</v>
      </c>
      <c r="C304">
        <v>14</v>
      </c>
      <c r="X304" t="s">
        <v>153</v>
      </c>
      <c r="Y304" t="s">
        <v>418</v>
      </c>
      <c r="Z304">
        <v>2</v>
      </c>
    </row>
    <row r="305" spans="1:26" x14ac:dyDescent="0.25">
      <c r="A305" t="str">
        <v>FIDEO CODITO ENVASADO</v>
      </c>
      <c r="B305" t="str">
        <v>Callao</v>
      </c>
      <c r="C305">
        <v>1</v>
      </c>
      <c r="X305" t="s">
        <v>200</v>
      </c>
      <c r="Y305" t="s">
        <v>418</v>
      </c>
      <c r="Z305">
        <v>5</v>
      </c>
    </row>
    <row r="306" spans="1:26" x14ac:dyDescent="0.25">
      <c r="A306" t="str">
        <v>VERDURA PICADA</v>
      </c>
      <c r="B306" t="str">
        <v>Callao</v>
      </c>
      <c r="C306">
        <v>2</v>
      </c>
      <c r="X306" t="s">
        <v>149</v>
      </c>
      <c r="Y306" t="s">
        <v>418</v>
      </c>
      <c r="Z306">
        <v>3</v>
      </c>
    </row>
    <row r="307" spans="1:26" x14ac:dyDescent="0.25">
      <c r="A307" t="str">
        <v>CARNE DE RES CON HUESO</v>
      </c>
      <c r="B307" t="str">
        <v>Callao</v>
      </c>
      <c r="C307">
        <v>5</v>
      </c>
      <c r="X307" t="s">
        <v>19</v>
      </c>
      <c r="Y307" t="s">
        <v>418</v>
      </c>
      <c r="Z307">
        <v>3</v>
      </c>
    </row>
    <row r="308" spans="1:26" x14ac:dyDescent="0.25">
      <c r="A308" t="str">
        <v>PAN CORRIENTE O COMUN</v>
      </c>
      <c r="B308" t="str">
        <v>Callao</v>
      </c>
      <c r="C308">
        <v>3</v>
      </c>
      <c r="X308" t="s">
        <v>167</v>
      </c>
      <c r="Y308" t="s">
        <v>418</v>
      </c>
      <c r="Z308">
        <v>0</v>
      </c>
    </row>
    <row r="309" spans="1:26" x14ac:dyDescent="0.25">
      <c r="A309" t="str">
        <v>QUESO FRESCO VACA</v>
      </c>
      <c r="B309" t="str">
        <v>Callao</v>
      </c>
      <c r="C309">
        <v>3</v>
      </c>
      <c r="X309" t="s">
        <v>31</v>
      </c>
      <c r="Y309" t="s">
        <v>418</v>
      </c>
      <c r="Z309">
        <v>20</v>
      </c>
    </row>
    <row r="310" spans="1:26" x14ac:dyDescent="0.25">
      <c r="A310" t="str">
        <v>HARINA DE TRIGO SIN PREPARAR ENVASADA</v>
      </c>
      <c r="B310" t="str">
        <v>Callao</v>
      </c>
      <c r="C310">
        <v>0</v>
      </c>
      <c r="X310" t="s">
        <v>201</v>
      </c>
      <c r="Y310" t="s">
        <v>418</v>
      </c>
      <c r="Z310">
        <v>3</v>
      </c>
    </row>
    <row r="311" spans="1:26" x14ac:dyDescent="0.25">
      <c r="A311" t="str">
        <v>COSTILLA DE CABRITO</v>
      </c>
      <c r="B311" t="str">
        <v>Callao</v>
      </c>
      <c r="C311">
        <v>20</v>
      </c>
      <c r="X311" t="s">
        <v>202</v>
      </c>
      <c r="Y311" t="s">
        <v>418</v>
      </c>
      <c r="Z311">
        <v>1</v>
      </c>
    </row>
    <row r="312" spans="1:26" x14ac:dyDescent="0.25">
      <c r="A312" t="str">
        <v>MAZAMORRA PREPARADA SERVIDA</v>
      </c>
      <c r="B312" t="str">
        <v>Callao</v>
      </c>
      <c r="C312">
        <v>3</v>
      </c>
      <c r="X312" t="s">
        <v>203</v>
      </c>
      <c r="Y312" t="s">
        <v>418</v>
      </c>
      <c r="Z312">
        <v>1</v>
      </c>
    </row>
    <row r="313" spans="1:26" x14ac:dyDescent="0.25">
      <c r="A313" t="str">
        <v>YOGURT BEBIBLE ENVASADO</v>
      </c>
      <c r="B313" t="str">
        <v>Callao</v>
      </c>
      <c r="C313">
        <v>1</v>
      </c>
      <c r="X313" t="s">
        <v>204</v>
      </c>
      <c r="Y313" t="s">
        <v>418</v>
      </c>
      <c r="Z313">
        <v>1</v>
      </c>
    </row>
    <row r="314" spans="1:26" x14ac:dyDescent="0.25">
      <c r="A314" t="str">
        <v>FOSFORO</v>
      </c>
      <c r="B314" t="str">
        <v>Callao</v>
      </c>
      <c r="C314">
        <v>1</v>
      </c>
      <c r="X314" t="s">
        <v>158</v>
      </c>
      <c r="Y314" t="s">
        <v>418</v>
      </c>
      <c r="Z314">
        <v>4</v>
      </c>
    </row>
    <row r="315" spans="1:26" x14ac:dyDescent="0.25">
      <c r="A315" t="str">
        <v>SAL MARINA</v>
      </c>
      <c r="B315" t="str">
        <v>Callao</v>
      </c>
      <c r="C315">
        <v>1</v>
      </c>
      <c r="X315" t="s">
        <v>202</v>
      </c>
      <c r="Y315" t="s">
        <v>418</v>
      </c>
      <c r="Z315">
        <v>6</v>
      </c>
    </row>
    <row r="316" spans="1:26" x14ac:dyDescent="0.25">
      <c r="A316" t="str">
        <v>SAZONADOR EN POLVO ENVASADO</v>
      </c>
      <c r="B316" t="str">
        <v>Callao</v>
      </c>
      <c r="C316">
        <v>4</v>
      </c>
      <c r="X316" t="s">
        <v>205</v>
      </c>
      <c r="Y316" t="s">
        <v>418</v>
      </c>
      <c r="Z316">
        <v>4</v>
      </c>
    </row>
    <row r="317" spans="1:26" x14ac:dyDescent="0.25">
      <c r="A317" t="str">
        <v>YOGURT BEBIBLE ENVASADO</v>
      </c>
      <c r="B317" t="str">
        <v>Callao</v>
      </c>
      <c r="C317">
        <v>6</v>
      </c>
      <c r="X317" t="s">
        <v>32</v>
      </c>
      <c r="Y317" t="s">
        <v>418</v>
      </c>
      <c r="Z317">
        <v>2</v>
      </c>
    </row>
    <row r="318" spans="1:26" x14ac:dyDescent="0.25">
      <c r="A318" t="str">
        <v>CEREALES PROCESADOS ENRIQUECIDOS</v>
      </c>
      <c r="B318" t="str">
        <v>Callao</v>
      </c>
      <c r="C318">
        <v>4</v>
      </c>
      <c r="X318" t="s">
        <v>13</v>
      </c>
      <c r="Y318" t="s">
        <v>418</v>
      </c>
      <c r="Z318">
        <v>16</v>
      </c>
    </row>
    <row r="319" spans="1:26" x14ac:dyDescent="0.25">
      <c r="A319" t="str">
        <v>FRESA</v>
      </c>
      <c r="B319" t="str">
        <v>Callao</v>
      </c>
      <c r="C319">
        <v>2</v>
      </c>
      <c r="X319" t="s">
        <v>206</v>
      </c>
      <c r="Y319" t="s">
        <v>418</v>
      </c>
      <c r="Z319">
        <v>1</v>
      </c>
    </row>
    <row r="320" spans="1:26" x14ac:dyDescent="0.25">
      <c r="A320" t="str">
        <v>AZUCAR RUBIA A GRANEL</v>
      </c>
      <c r="B320" t="str">
        <v>Callao</v>
      </c>
      <c r="C320">
        <v>16</v>
      </c>
      <c r="X320" t="s">
        <v>6</v>
      </c>
      <c r="Y320" t="s">
        <v>418</v>
      </c>
      <c r="Z320">
        <v>5</v>
      </c>
    </row>
    <row r="321" spans="1:26" x14ac:dyDescent="0.25">
      <c r="A321" t="str">
        <v>LEJIA EN FRASCO</v>
      </c>
      <c r="B321" t="str">
        <v>Callao</v>
      </c>
      <c r="C321">
        <v>1</v>
      </c>
      <c r="X321" t="s">
        <v>5</v>
      </c>
      <c r="Y321" t="s">
        <v>418</v>
      </c>
      <c r="Z321">
        <v>3</v>
      </c>
    </row>
    <row r="322" spans="1:26" x14ac:dyDescent="0.25">
      <c r="A322" t="str">
        <v>CEBOLLA ROJA</v>
      </c>
      <c r="B322" t="str">
        <v>Callao</v>
      </c>
      <c r="C322">
        <v>5</v>
      </c>
      <c r="X322" t="s">
        <v>13</v>
      </c>
      <c r="Y322" t="s">
        <v>418</v>
      </c>
      <c r="Z322">
        <v>8</v>
      </c>
    </row>
    <row r="323" spans="1:26" x14ac:dyDescent="0.25">
      <c r="A323" t="str">
        <v>TOMATE REDONDO</v>
      </c>
      <c r="B323" t="str">
        <v>Callao</v>
      </c>
      <c r="C323">
        <v>3</v>
      </c>
      <c r="X323" t="s">
        <v>158</v>
      </c>
      <c r="Y323" t="s">
        <v>418</v>
      </c>
      <c r="Z323">
        <v>5</v>
      </c>
    </row>
    <row r="324" spans="1:26" x14ac:dyDescent="0.25">
      <c r="A324" t="str">
        <v>AZUCAR RUBIA A GRANEL</v>
      </c>
      <c r="B324" t="str">
        <v>Callao</v>
      </c>
      <c r="C324">
        <v>8</v>
      </c>
      <c r="X324" t="s">
        <v>15</v>
      </c>
      <c r="Y324" t="s">
        <v>418</v>
      </c>
      <c r="Z324">
        <v>8</v>
      </c>
    </row>
    <row r="325" spans="1:26" x14ac:dyDescent="0.25">
      <c r="A325" t="str">
        <v>SAZONADOR EN POLVO ENVASADO</v>
      </c>
      <c r="B325" t="str">
        <v>Callao</v>
      </c>
      <c r="C325">
        <v>5</v>
      </c>
      <c r="X325" t="s">
        <v>207</v>
      </c>
      <c r="Y325" t="s">
        <v>418</v>
      </c>
      <c r="Z325">
        <v>5</v>
      </c>
    </row>
    <row r="326" spans="1:26" x14ac:dyDescent="0.25">
      <c r="A326" t="str">
        <v>CAFE INSTANTANEO ENVASADO</v>
      </c>
      <c r="B326" t="str">
        <v>Callao</v>
      </c>
      <c r="C326">
        <v>8</v>
      </c>
      <c r="X326" t="s">
        <v>198</v>
      </c>
      <c r="Y326" t="s">
        <v>418</v>
      </c>
      <c r="Z326">
        <v>23</v>
      </c>
    </row>
    <row r="327" spans="1:26" x14ac:dyDescent="0.25">
      <c r="A327" t="str">
        <v>GALLETA DULCE ENVASADA</v>
      </c>
      <c r="B327" t="str">
        <v>Callao</v>
      </c>
      <c r="C327">
        <v>5</v>
      </c>
      <c r="X327" t="s">
        <v>171</v>
      </c>
      <c r="Y327" t="s">
        <v>418</v>
      </c>
      <c r="Z327">
        <v>5</v>
      </c>
    </row>
    <row r="328" spans="1:26" x14ac:dyDescent="0.25">
      <c r="A328" t="str">
        <v>POLLO ENTERO EVISCERADO</v>
      </c>
      <c r="B328" t="str">
        <v>Callao</v>
      </c>
      <c r="C328">
        <v>23</v>
      </c>
      <c r="X328" t="s">
        <v>59</v>
      </c>
      <c r="Y328" t="s">
        <v>418</v>
      </c>
      <c r="Z328">
        <v>5</v>
      </c>
    </row>
    <row r="329" spans="1:26" x14ac:dyDescent="0.25">
      <c r="A329" t="str">
        <v>PASAJE EN MOTOKAR</v>
      </c>
      <c r="B329" t="str">
        <v>Callao</v>
      </c>
      <c r="C329">
        <v>5</v>
      </c>
      <c r="X329" t="s">
        <v>208</v>
      </c>
      <c r="Y329" t="s">
        <v>418</v>
      </c>
      <c r="Z329">
        <v>1</v>
      </c>
    </row>
    <row r="330" spans="1:26" x14ac:dyDescent="0.25">
      <c r="A330" t="str">
        <v>SIERRA FRESCA</v>
      </c>
      <c r="B330" t="str">
        <v>Callao</v>
      </c>
      <c r="C330">
        <v>5</v>
      </c>
      <c r="X330" t="s">
        <v>209</v>
      </c>
      <c r="Y330" t="s">
        <v>418</v>
      </c>
      <c r="Z330">
        <v>10</v>
      </c>
    </row>
    <row r="331" spans="1:26" x14ac:dyDescent="0.25">
      <c r="A331" t="str">
        <v>BETARRAGA</v>
      </c>
      <c r="B331" t="str">
        <v>Callao</v>
      </c>
      <c r="C331">
        <v>1</v>
      </c>
      <c r="X331" t="s">
        <v>45</v>
      </c>
      <c r="Y331" t="s">
        <v>418</v>
      </c>
      <c r="Z331">
        <v>3</v>
      </c>
    </row>
    <row r="332" spans="1:26" x14ac:dyDescent="0.25">
      <c r="A332" t="str">
        <v>SOPA AGUADITO</v>
      </c>
      <c r="B332" t="str">
        <v>Callao</v>
      </c>
      <c r="C332">
        <v>10</v>
      </c>
      <c r="X332" t="s">
        <v>95</v>
      </c>
      <c r="Y332" t="s">
        <v>418</v>
      </c>
      <c r="Z332">
        <v>2</v>
      </c>
    </row>
    <row r="333" spans="1:26" x14ac:dyDescent="0.25">
      <c r="A333" t="str">
        <v>CHICHA MORADA SERVIDA</v>
      </c>
      <c r="B333" t="str">
        <v>Callao</v>
      </c>
      <c r="C333">
        <v>3</v>
      </c>
      <c r="X333" t="s">
        <v>171</v>
      </c>
      <c r="Y333" t="s">
        <v>418</v>
      </c>
      <c r="Z333">
        <v>2</v>
      </c>
    </row>
    <row r="334" spans="1:26" x14ac:dyDescent="0.25">
      <c r="A334" t="str">
        <v>PLATANO MADURO</v>
      </c>
      <c r="B334" t="str">
        <v>Callao</v>
      </c>
      <c r="C334">
        <v>2</v>
      </c>
      <c r="X334" t="s">
        <v>210</v>
      </c>
      <c r="Y334" t="s">
        <v>418</v>
      </c>
      <c r="Z334">
        <v>15</v>
      </c>
    </row>
    <row r="335" spans="1:26" x14ac:dyDescent="0.25">
      <c r="A335" t="str">
        <v>PASAJE EN MOTOKAR</v>
      </c>
      <c r="B335" t="str">
        <v>Callao</v>
      </c>
      <c r="C335">
        <v>2</v>
      </c>
      <c r="X335" t="s">
        <v>211</v>
      </c>
      <c r="Y335" t="s">
        <v>418</v>
      </c>
      <c r="Z335">
        <v>14</v>
      </c>
    </row>
    <row r="336" spans="1:26" x14ac:dyDescent="0.25">
      <c r="A336" t="str">
        <v>TOLLO FRESCO</v>
      </c>
      <c r="B336" t="str">
        <v>Callao</v>
      </c>
      <c r="C336">
        <v>15</v>
      </c>
      <c r="X336" t="s">
        <v>22</v>
      </c>
      <c r="Y336" t="s">
        <v>418</v>
      </c>
      <c r="Z336">
        <v>1</v>
      </c>
    </row>
    <row r="337" spans="1:26" x14ac:dyDescent="0.25">
      <c r="A337" t="str">
        <v>BLANCO FRESCO</v>
      </c>
      <c r="B337" t="str">
        <v>Callao</v>
      </c>
      <c r="C337">
        <v>14</v>
      </c>
      <c r="X337" t="s">
        <v>106</v>
      </c>
      <c r="Y337" t="s">
        <v>418</v>
      </c>
      <c r="Z337">
        <v>1</v>
      </c>
    </row>
    <row r="338" spans="1:26" x14ac:dyDescent="0.25">
      <c r="A338" t="str">
        <v>CULANTRO ENTERO</v>
      </c>
      <c r="B338" t="str">
        <v>Callao</v>
      </c>
      <c r="C338">
        <v>1</v>
      </c>
      <c r="X338" t="s">
        <v>107</v>
      </c>
      <c r="Y338" t="s">
        <v>418</v>
      </c>
      <c r="Z338">
        <v>2</v>
      </c>
    </row>
    <row r="339" spans="1:26" x14ac:dyDescent="0.25">
      <c r="A339" t="str">
        <v>AJO ENTERO SIN PELAR</v>
      </c>
      <c r="B339" t="str">
        <v>Callao</v>
      </c>
      <c r="C339">
        <v>1</v>
      </c>
      <c r="X339" t="s">
        <v>74</v>
      </c>
      <c r="Y339" t="s">
        <v>418</v>
      </c>
      <c r="Z339">
        <v>1</v>
      </c>
    </row>
    <row r="340" spans="1:26" x14ac:dyDescent="0.25">
      <c r="A340" t="str">
        <v>PAPA AMARILLA</v>
      </c>
      <c r="B340" t="str">
        <v>Callao</v>
      </c>
      <c r="C340">
        <v>2</v>
      </c>
      <c r="X340" t="s">
        <v>212</v>
      </c>
      <c r="Y340" t="s">
        <v>418</v>
      </c>
      <c r="Z340">
        <v>0</v>
      </c>
    </row>
    <row r="341" spans="1:26" x14ac:dyDescent="0.25">
      <c r="A341" t="str">
        <v>SANDWICH DE POLLO</v>
      </c>
      <c r="B341" t="str">
        <v>Callao</v>
      </c>
      <c r="C341">
        <v>1</v>
      </c>
      <c r="X341" t="s">
        <v>213</v>
      </c>
      <c r="Y341" t="s">
        <v>418</v>
      </c>
      <c r="Z341">
        <v>4</v>
      </c>
    </row>
    <row r="342" spans="1:26" x14ac:dyDescent="0.25">
      <c r="A342" t="str">
        <v>AGUA DE CEBADA SERVIDO</v>
      </c>
      <c r="B342" t="str">
        <v>Callao</v>
      </c>
      <c r="C342">
        <v>0</v>
      </c>
      <c r="X342" t="s">
        <v>214</v>
      </c>
      <c r="Y342" t="s">
        <v>418</v>
      </c>
      <c r="Z342">
        <v>1</v>
      </c>
    </row>
    <row r="343" spans="1:26" x14ac:dyDescent="0.25">
      <c r="A343" t="str">
        <v>MARIPOSA FRESCA</v>
      </c>
      <c r="B343" t="str">
        <v>Callao</v>
      </c>
      <c r="C343">
        <v>4</v>
      </c>
      <c r="X343" t="s">
        <v>89</v>
      </c>
      <c r="Y343" t="s">
        <v>418</v>
      </c>
      <c r="Z343">
        <v>10</v>
      </c>
    </row>
    <row r="344" spans="1:26" x14ac:dyDescent="0.25">
      <c r="A344" t="str">
        <v>MARGARINA ENVASADA</v>
      </c>
      <c r="B344" t="str">
        <v>Callao</v>
      </c>
      <c r="C344">
        <v>1</v>
      </c>
      <c r="X344" t="s">
        <v>11</v>
      </c>
      <c r="Y344" t="s">
        <v>418</v>
      </c>
      <c r="Z344">
        <v>0</v>
      </c>
    </row>
    <row r="345" spans="1:26" x14ac:dyDescent="0.25">
      <c r="A345" t="str">
        <v>PECHUGA DE POLLO</v>
      </c>
      <c r="B345" t="str">
        <v>Callao</v>
      </c>
      <c r="C345">
        <v>10</v>
      </c>
      <c r="X345" t="s">
        <v>215</v>
      </c>
      <c r="Y345" t="s">
        <v>418</v>
      </c>
      <c r="Z345">
        <v>0</v>
      </c>
    </row>
    <row r="346" spans="1:26" x14ac:dyDescent="0.25">
      <c r="A346" t="str">
        <v>NARANJA DE JUGO</v>
      </c>
      <c r="B346" t="str">
        <v>Callao</v>
      </c>
      <c r="C346">
        <v>0</v>
      </c>
      <c r="X346" t="s">
        <v>216</v>
      </c>
      <c r="Y346" t="s">
        <v>418</v>
      </c>
      <c r="Z346">
        <v>1</v>
      </c>
    </row>
    <row r="347" spans="1:26" x14ac:dyDescent="0.25">
      <c r="A347" t="str">
        <v>MANZANILLA FILTRANTE</v>
      </c>
      <c r="B347" t="str">
        <v>Callao</v>
      </c>
      <c r="C347">
        <v>0</v>
      </c>
      <c r="X347" t="s">
        <v>214</v>
      </c>
      <c r="Y347" t="s">
        <v>418</v>
      </c>
      <c r="Z347">
        <v>0</v>
      </c>
    </row>
    <row r="348" spans="1:26" x14ac:dyDescent="0.25">
      <c r="A348" t="str">
        <v>LECHE FRESCA CRUDA DE CABRA A GRANEL</v>
      </c>
      <c r="B348" t="str">
        <v>Callao</v>
      </c>
      <c r="C348">
        <v>1</v>
      </c>
      <c r="X348" t="s">
        <v>39</v>
      </c>
      <c r="Y348" t="s">
        <v>418</v>
      </c>
      <c r="Z348">
        <v>0</v>
      </c>
    </row>
    <row r="349" spans="1:26" x14ac:dyDescent="0.25">
      <c r="A349" t="str">
        <v>MARGARINA ENVASADA</v>
      </c>
      <c r="B349" t="str">
        <v>Callao</v>
      </c>
      <c r="C349">
        <v>0</v>
      </c>
      <c r="X349" t="s">
        <v>217</v>
      </c>
      <c r="Y349" t="s">
        <v>418</v>
      </c>
      <c r="Z349">
        <v>10</v>
      </c>
    </row>
    <row r="350" spans="1:26" x14ac:dyDescent="0.25">
      <c r="A350" t="str">
        <v>PAPEL HIGIENICO</v>
      </c>
      <c r="B350" t="str">
        <v>Callao</v>
      </c>
      <c r="C350">
        <v>0</v>
      </c>
      <c r="X350" t="s">
        <v>69</v>
      </c>
      <c r="Y350" t="s">
        <v>418</v>
      </c>
      <c r="Z350">
        <v>0</v>
      </c>
    </row>
    <row r="351" spans="1:26" x14ac:dyDescent="0.25">
      <c r="A351" t="str">
        <v>POLLADA SERVIDA</v>
      </c>
      <c r="B351" t="str">
        <v>Callao</v>
      </c>
      <c r="C351">
        <v>10</v>
      </c>
      <c r="X351" t="s">
        <v>218</v>
      </c>
      <c r="Y351" t="s">
        <v>418</v>
      </c>
      <c r="Z351">
        <v>0</v>
      </c>
    </row>
    <row r="352" spans="1:26" x14ac:dyDescent="0.25">
      <c r="A352" t="str">
        <v>GALLETA DE SODA ENVASADA</v>
      </c>
      <c r="B352" t="str">
        <v>Callao</v>
      </c>
      <c r="C352">
        <v>0</v>
      </c>
      <c r="X352" t="s">
        <v>219</v>
      </c>
      <c r="Y352" t="s">
        <v>418</v>
      </c>
      <c r="Z352">
        <v>2</v>
      </c>
    </row>
    <row r="353" spans="1:26" x14ac:dyDescent="0.25">
      <c r="A353" t="str">
        <v>HOJA DE AFEITAR</v>
      </c>
      <c r="B353" t="str">
        <v>Callao</v>
      </c>
      <c r="C353">
        <v>0</v>
      </c>
      <c r="X353" t="s">
        <v>220</v>
      </c>
      <c r="Y353" t="s">
        <v>418</v>
      </c>
      <c r="Z353">
        <v>2</v>
      </c>
    </row>
    <row r="354" spans="1:26" x14ac:dyDescent="0.25">
      <c r="A354" t="str">
        <v>BEBIDA HIDRATANTE</v>
      </c>
      <c r="B354" t="str">
        <v>Callao</v>
      </c>
      <c r="C354">
        <v>2</v>
      </c>
      <c r="X354" t="s">
        <v>95</v>
      </c>
      <c r="Y354" t="s">
        <v>418</v>
      </c>
      <c r="Z354">
        <v>0</v>
      </c>
    </row>
    <row r="355" spans="1:26" x14ac:dyDescent="0.25">
      <c r="A355" t="str">
        <v>FUREL FRESCO</v>
      </c>
      <c r="B355" t="str">
        <v>Callao</v>
      </c>
      <c r="C355">
        <v>2</v>
      </c>
      <c r="X355" t="s">
        <v>221</v>
      </c>
      <c r="Y355" t="s">
        <v>418</v>
      </c>
      <c r="Z355">
        <v>2</v>
      </c>
    </row>
    <row r="356" spans="1:26" x14ac:dyDescent="0.25">
      <c r="A356" t="str">
        <v>PLATANO MADURO</v>
      </c>
      <c r="B356" t="str">
        <v>Callao</v>
      </c>
      <c r="C356">
        <v>0</v>
      </c>
      <c r="X356" t="s">
        <v>222</v>
      </c>
      <c r="Y356" t="s">
        <v>418</v>
      </c>
      <c r="Z356">
        <v>1</v>
      </c>
    </row>
    <row r="357" spans="1:26" x14ac:dyDescent="0.25">
      <c r="A357" t="str">
        <v>JUGO DE FRUTAS LICUADO SERVIDO</v>
      </c>
      <c r="B357" t="str">
        <v>Callao</v>
      </c>
      <c r="C357">
        <v>2</v>
      </c>
      <c r="X357" t="s">
        <v>80</v>
      </c>
      <c r="Y357" t="s">
        <v>418</v>
      </c>
      <c r="Z357">
        <v>0</v>
      </c>
    </row>
    <row r="358" spans="1:26" x14ac:dyDescent="0.25">
      <c r="A358" t="str">
        <v>LECHE FRESCA CRUDA DE VACA A GRANEL</v>
      </c>
      <c r="B358" t="str">
        <v>Callao</v>
      </c>
      <c r="C358">
        <v>1</v>
      </c>
      <c r="X358" t="s">
        <v>223</v>
      </c>
      <c r="Y358" t="s">
        <v>418</v>
      </c>
      <c r="Z358">
        <v>5</v>
      </c>
    </row>
    <row r="359" spans="1:26" x14ac:dyDescent="0.25">
      <c r="A359" t="str">
        <v>MANDARINA</v>
      </c>
      <c r="B359" t="str">
        <v>Callao</v>
      </c>
      <c r="C359">
        <v>0</v>
      </c>
      <c r="X359" t="s">
        <v>171</v>
      </c>
      <c r="Y359" t="s">
        <v>418</v>
      </c>
      <c r="Z359">
        <v>1</v>
      </c>
    </row>
    <row r="360" spans="1:26" x14ac:dyDescent="0.25">
      <c r="A360" t="str">
        <v>PASAJE AUTO</v>
      </c>
      <c r="B360" t="str">
        <v>Callao</v>
      </c>
      <c r="C360">
        <v>5</v>
      </c>
      <c r="X360" t="s">
        <v>224</v>
      </c>
      <c r="Y360" t="s">
        <v>418</v>
      </c>
      <c r="Z360">
        <v>5</v>
      </c>
    </row>
    <row r="361" spans="1:26" x14ac:dyDescent="0.25">
      <c r="A361" t="str">
        <v>PASAJE EN MOTOKAR</v>
      </c>
      <c r="B361" t="str">
        <v>Callao</v>
      </c>
      <c r="C361">
        <v>1</v>
      </c>
      <c r="X361" t="s">
        <v>39</v>
      </c>
      <c r="Y361" t="s">
        <v>418</v>
      </c>
      <c r="Z361">
        <v>1</v>
      </c>
    </row>
    <row r="362" spans="1:26" x14ac:dyDescent="0.25">
      <c r="A362" t="str">
        <v>MENU DE DESAYUNO</v>
      </c>
      <c r="B362" t="str">
        <v>Callao</v>
      </c>
      <c r="C362">
        <v>5</v>
      </c>
      <c r="X362" t="s">
        <v>225</v>
      </c>
      <c r="Y362" t="s">
        <v>418</v>
      </c>
      <c r="Z362">
        <v>10</v>
      </c>
    </row>
    <row r="363" spans="1:26" x14ac:dyDescent="0.25">
      <c r="A363" t="str">
        <v>PAPEL HIGIENICO</v>
      </c>
      <c r="B363" t="str">
        <v>Callao</v>
      </c>
      <c r="C363">
        <v>1</v>
      </c>
      <c r="X363" t="s">
        <v>225</v>
      </c>
      <c r="Y363" t="s">
        <v>418</v>
      </c>
      <c r="Z363">
        <v>5</v>
      </c>
    </row>
    <row r="364" spans="1:26" x14ac:dyDescent="0.25">
      <c r="A364" t="str">
        <v>PAMPANITO FRESCO</v>
      </c>
      <c r="B364" t="str">
        <v>Callao</v>
      </c>
      <c r="C364">
        <v>10</v>
      </c>
      <c r="X364" t="s">
        <v>76</v>
      </c>
      <c r="Y364" t="s">
        <v>418</v>
      </c>
      <c r="Z364">
        <v>2</v>
      </c>
    </row>
    <row r="365" spans="1:26" x14ac:dyDescent="0.25">
      <c r="A365" t="str">
        <v>PAMPANITO FRESCO</v>
      </c>
      <c r="B365" t="str">
        <v>Callao</v>
      </c>
      <c r="C365">
        <v>5</v>
      </c>
      <c r="X365" t="s">
        <v>122</v>
      </c>
      <c r="Y365" t="s">
        <v>418</v>
      </c>
      <c r="Z365">
        <v>8</v>
      </c>
    </row>
    <row r="366" spans="1:26" x14ac:dyDescent="0.25">
      <c r="A366" t="str">
        <v>CAMOTE MORADO</v>
      </c>
      <c r="B366" t="str">
        <v>Callao</v>
      </c>
      <c r="C366">
        <v>2</v>
      </c>
      <c r="X366" t="s">
        <v>151</v>
      </c>
      <c r="Y366" t="s">
        <v>418</v>
      </c>
      <c r="Z366">
        <v>2</v>
      </c>
    </row>
    <row r="367" spans="1:26" x14ac:dyDescent="0.25">
      <c r="A367" t="str">
        <v>CENA MENU</v>
      </c>
      <c r="B367" t="str">
        <v>Callao</v>
      </c>
      <c r="C367">
        <v>8</v>
      </c>
      <c r="X367" t="s">
        <v>28</v>
      </c>
      <c r="Y367" t="s">
        <v>418</v>
      </c>
      <c r="Z367">
        <v>6</v>
      </c>
    </row>
    <row r="368" spans="1:26" x14ac:dyDescent="0.25">
      <c r="A368" t="str">
        <v>ARVERJA VERDE CRIOLLA CON VAINA</v>
      </c>
      <c r="B368" t="str">
        <v>Callao</v>
      </c>
      <c r="C368">
        <v>2</v>
      </c>
      <c r="X368" t="s">
        <v>226</v>
      </c>
      <c r="Y368" t="s">
        <v>418</v>
      </c>
      <c r="Z368">
        <v>1</v>
      </c>
    </row>
    <row r="369" spans="1:26" x14ac:dyDescent="0.25">
      <c r="A369" t="str">
        <v>ACEITE VEGETAL ENVASADO</v>
      </c>
      <c r="B369" t="str">
        <v>Callao</v>
      </c>
      <c r="C369">
        <v>6</v>
      </c>
      <c r="X369" t="s">
        <v>227</v>
      </c>
      <c r="Y369" t="s">
        <v>418</v>
      </c>
      <c r="Z369">
        <v>0</v>
      </c>
    </row>
    <row r="370" spans="1:26" x14ac:dyDescent="0.25">
      <c r="A370" t="str">
        <v>DETERGENTE EN POLVO ENVASADO</v>
      </c>
      <c r="B370" t="str">
        <v>Callao</v>
      </c>
      <c r="C370">
        <v>1</v>
      </c>
      <c r="X370" t="s">
        <v>228</v>
      </c>
      <c r="Y370" t="s">
        <v>418</v>
      </c>
      <c r="Z370">
        <v>0</v>
      </c>
    </row>
    <row r="371" spans="1:26" x14ac:dyDescent="0.25">
      <c r="A371" t="str">
        <v>LEJIA EN COJIN</v>
      </c>
      <c r="B371" t="str">
        <v>Callao</v>
      </c>
      <c r="C371">
        <v>0</v>
      </c>
      <c r="X371" t="s">
        <v>229</v>
      </c>
      <c r="Y371" t="s">
        <v>418</v>
      </c>
      <c r="Z371">
        <v>2</v>
      </c>
    </row>
    <row r="372" spans="1:26" x14ac:dyDescent="0.25">
      <c r="A372" t="str">
        <v>GALLETAS RELLENAS ENVASADAS</v>
      </c>
      <c r="B372" t="str">
        <v>Callao</v>
      </c>
      <c r="C372">
        <v>0</v>
      </c>
      <c r="X372" t="s">
        <v>89</v>
      </c>
      <c r="Y372" t="s">
        <v>418</v>
      </c>
      <c r="Z372">
        <v>3</v>
      </c>
    </row>
    <row r="373" spans="1:26" x14ac:dyDescent="0.25">
      <c r="A373" t="str">
        <v>FIDEOS TALLARIN ENVASADO</v>
      </c>
      <c r="B373" t="str">
        <v>Callao</v>
      </c>
      <c r="C373">
        <v>2</v>
      </c>
      <c r="X373" t="s">
        <v>230</v>
      </c>
      <c r="Y373" t="s">
        <v>418</v>
      </c>
      <c r="Z373">
        <v>0</v>
      </c>
    </row>
    <row r="374" spans="1:26" x14ac:dyDescent="0.25">
      <c r="A374" t="str">
        <v>PECHUGA DE POLLO</v>
      </c>
      <c r="B374" t="str">
        <v>Callao</v>
      </c>
      <c r="C374">
        <v>3</v>
      </c>
      <c r="X374" t="s">
        <v>32</v>
      </c>
      <c r="Y374" t="s">
        <v>418</v>
      </c>
      <c r="Z374">
        <v>3</v>
      </c>
    </row>
    <row r="375" spans="1:26" x14ac:dyDescent="0.25">
      <c r="A375" t="str">
        <v>HONGOS Y LAUREL A GRANEL</v>
      </c>
      <c r="B375" t="str">
        <v>Callao</v>
      </c>
      <c r="C375">
        <v>0</v>
      </c>
      <c r="X375" t="s">
        <v>231</v>
      </c>
      <c r="Y375" t="s">
        <v>418</v>
      </c>
      <c r="Z375">
        <v>0</v>
      </c>
    </row>
    <row r="376" spans="1:26" x14ac:dyDescent="0.25">
      <c r="A376" t="str">
        <v>FRESA</v>
      </c>
      <c r="B376" t="str">
        <v>Callao</v>
      </c>
      <c r="C376">
        <v>3</v>
      </c>
      <c r="X376" t="s">
        <v>79</v>
      </c>
      <c r="Y376" t="s">
        <v>418</v>
      </c>
      <c r="Z376">
        <v>1</v>
      </c>
    </row>
    <row r="377" spans="1:26" x14ac:dyDescent="0.25">
      <c r="A377" t="str">
        <v>COCOA ENVASADA EN POLVO</v>
      </c>
      <c r="B377" t="str">
        <v>Callao</v>
      </c>
      <c r="C377">
        <v>0</v>
      </c>
      <c r="X377" t="s">
        <v>232</v>
      </c>
      <c r="Y377" t="s">
        <v>418</v>
      </c>
      <c r="Z377">
        <v>1</v>
      </c>
    </row>
    <row r="378" spans="1:26" x14ac:dyDescent="0.25">
      <c r="A378" t="str">
        <v>HUMITAS</v>
      </c>
      <c r="B378" t="str">
        <v>Callao</v>
      </c>
      <c r="C378">
        <v>1</v>
      </c>
      <c r="X378" t="s">
        <v>233</v>
      </c>
      <c r="Y378" t="s">
        <v>418</v>
      </c>
      <c r="Z378">
        <v>10</v>
      </c>
    </row>
    <row r="379" spans="1:26" x14ac:dyDescent="0.25">
      <c r="A379" t="str">
        <v>ARROZ A GRANEL</v>
      </c>
      <c r="B379" t="str">
        <v>Callao</v>
      </c>
      <c r="C379">
        <v>1</v>
      </c>
      <c r="X379" t="s">
        <v>79</v>
      </c>
      <c r="Y379" t="s">
        <v>418</v>
      </c>
      <c r="Z379">
        <v>2</v>
      </c>
    </row>
    <row r="380" spans="1:26" x14ac:dyDescent="0.25">
      <c r="A380" t="str">
        <v>AGUJA FRESCA</v>
      </c>
      <c r="B380" t="str">
        <v>Callao</v>
      </c>
      <c r="C380">
        <v>10</v>
      </c>
      <c r="X380" t="s">
        <v>191</v>
      </c>
      <c r="Y380" t="s">
        <v>418</v>
      </c>
      <c r="Z380">
        <v>2</v>
      </c>
    </row>
    <row r="381" spans="1:26" x14ac:dyDescent="0.25">
      <c r="A381" t="str">
        <v>HUMITAS</v>
      </c>
      <c r="B381" t="str">
        <v>Callao</v>
      </c>
      <c r="C381">
        <v>2</v>
      </c>
      <c r="X381" t="s">
        <v>234</v>
      </c>
      <c r="Y381" t="s">
        <v>418</v>
      </c>
      <c r="Z381">
        <v>10</v>
      </c>
    </row>
    <row r="382" spans="1:26" x14ac:dyDescent="0.25">
      <c r="A382" t="str">
        <v>SOYA PREPARADA</v>
      </c>
      <c r="B382" t="str">
        <v>Callao</v>
      </c>
      <c r="C382">
        <v>2</v>
      </c>
      <c r="X382" t="s">
        <v>32</v>
      </c>
      <c r="Y382" t="s">
        <v>418</v>
      </c>
      <c r="Z382">
        <v>8</v>
      </c>
    </row>
    <row r="383" spans="1:26" x14ac:dyDescent="0.25">
      <c r="A383" t="str">
        <v>ESCOBA DE PLASTICO</v>
      </c>
      <c r="B383" t="str">
        <v>Callao</v>
      </c>
      <c r="C383">
        <v>10</v>
      </c>
      <c r="X383" t="s">
        <v>203</v>
      </c>
      <c r="Y383" t="s">
        <v>418</v>
      </c>
      <c r="Z383">
        <v>0</v>
      </c>
    </row>
    <row r="384" spans="1:26" x14ac:dyDescent="0.25">
      <c r="A384" t="str">
        <v>FRESA</v>
      </c>
      <c r="B384" t="str">
        <v>Callao</v>
      </c>
      <c r="C384">
        <v>8</v>
      </c>
      <c r="X384" t="s">
        <v>89</v>
      </c>
      <c r="Y384" t="s">
        <v>418</v>
      </c>
      <c r="Z384">
        <v>2</v>
      </c>
    </row>
    <row r="385" spans="1:26" x14ac:dyDescent="0.25">
      <c r="A385" t="str">
        <v>FOSFORO</v>
      </c>
      <c r="B385" t="str">
        <v>Callao</v>
      </c>
      <c r="C385">
        <v>0</v>
      </c>
      <c r="X385" t="s">
        <v>235</v>
      </c>
      <c r="Y385" t="s">
        <v>418</v>
      </c>
      <c r="Z385">
        <v>1</v>
      </c>
    </row>
    <row r="386" spans="1:26" x14ac:dyDescent="0.25">
      <c r="A386" t="str">
        <v>PECHUGA DE POLLO</v>
      </c>
      <c r="B386" t="str">
        <v>Callao</v>
      </c>
      <c r="C386">
        <v>2</v>
      </c>
      <c r="X386" t="s">
        <v>236</v>
      </c>
      <c r="Y386" t="s">
        <v>418</v>
      </c>
      <c r="Z386">
        <v>2</v>
      </c>
    </row>
    <row r="387" spans="1:26" x14ac:dyDescent="0.25">
      <c r="A387" t="str">
        <v>PI A DE GUAYAQUIL</v>
      </c>
      <c r="B387" t="str">
        <v>Callao</v>
      </c>
      <c r="C387">
        <v>1</v>
      </c>
      <c r="X387" t="s">
        <v>6</v>
      </c>
      <c r="Y387" t="s">
        <v>418</v>
      </c>
      <c r="Z387">
        <v>2</v>
      </c>
    </row>
    <row r="388" spans="1:26" x14ac:dyDescent="0.25">
      <c r="A388" t="str">
        <v>VERDURA PICADA PARA SOPA</v>
      </c>
      <c r="B388" t="str">
        <v>Callao</v>
      </c>
      <c r="C388">
        <v>2</v>
      </c>
      <c r="X388" t="s">
        <v>237</v>
      </c>
      <c r="Y388" t="s">
        <v>418</v>
      </c>
      <c r="Z388">
        <v>0</v>
      </c>
    </row>
    <row r="389" spans="1:26" x14ac:dyDescent="0.25">
      <c r="A389" t="str">
        <v>CEBOLLA ROJA</v>
      </c>
      <c r="B389" t="str">
        <v>Callao</v>
      </c>
      <c r="C389">
        <v>2</v>
      </c>
      <c r="X389" t="s">
        <v>238</v>
      </c>
      <c r="Y389" t="s">
        <v>418</v>
      </c>
      <c r="Z389">
        <v>2</v>
      </c>
    </row>
    <row r="390" spans="1:26" x14ac:dyDescent="0.25">
      <c r="A390" t="str">
        <v>SAZONADOR AJI PANCA EN POLVO ENVASADO</v>
      </c>
      <c r="B390" t="str">
        <v>Callao</v>
      </c>
      <c r="C390">
        <v>0</v>
      </c>
      <c r="X390" t="s">
        <v>239</v>
      </c>
      <c r="Y390" t="s">
        <v>418</v>
      </c>
      <c r="Z390">
        <v>2</v>
      </c>
    </row>
    <row r="391" spans="1:26" x14ac:dyDescent="0.25">
      <c r="A391" t="str">
        <v>SANCOCHADO DE RES</v>
      </c>
      <c r="B391" t="str">
        <v>Callao</v>
      </c>
      <c r="C391">
        <v>2</v>
      </c>
      <c r="X391" t="s">
        <v>13</v>
      </c>
      <c r="Y391" t="s">
        <v>418</v>
      </c>
      <c r="Z391">
        <v>4</v>
      </c>
    </row>
    <row r="392" spans="1:26" x14ac:dyDescent="0.25">
      <c r="A392" t="str">
        <v>MAIZ MORADO</v>
      </c>
      <c r="B392" t="str">
        <v>Callao</v>
      </c>
      <c r="C392">
        <v>2</v>
      </c>
      <c r="X392" t="s">
        <v>7</v>
      </c>
      <c r="Y392" t="s">
        <v>418</v>
      </c>
      <c r="Z392">
        <v>4</v>
      </c>
    </row>
    <row r="393" spans="1:26" x14ac:dyDescent="0.25">
      <c r="A393" t="str">
        <v>AZUCAR RUBIA A GRANEL</v>
      </c>
      <c r="B393" t="str">
        <v>Callao</v>
      </c>
      <c r="C393">
        <v>4</v>
      </c>
      <c r="X393" t="s">
        <v>240</v>
      </c>
      <c r="Y393" t="s">
        <v>418</v>
      </c>
      <c r="Z393">
        <v>3</v>
      </c>
    </row>
    <row r="394" spans="1:26" x14ac:dyDescent="0.25">
      <c r="A394" t="str">
        <v>PAPA BLANCA</v>
      </c>
      <c r="B394" t="str">
        <v>Callao</v>
      </c>
      <c r="C394">
        <v>4</v>
      </c>
      <c r="X394" t="s">
        <v>91</v>
      </c>
      <c r="Y394" t="s">
        <v>418</v>
      </c>
      <c r="Z394">
        <v>3</v>
      </c>
    </row>
    <row r="395" spans="1:26" x14ac:dyDescent="0.25">
      <c r="A395" t="str">
        <v>MAZAMORRA MORADA ENVASADA</v>
      </c>
      <c r="B395" t="str">
        <v>Callao</v>
      </c>
      <c r="C395">
        <v>3</v>
      </c>
      <c r="X395" t="s">
        <v>3</v>
      </c>
      <c r="Y395" t="s">
        <v>418</v>
      </c>
      <c r="Z395">
        <v>0</v>
      </c>
    </row>
    <row r="396" spans="1:26" x14ac:dyDescent="0.25">
      <c r="A396" t="str">
        <v>MELON</v>
      </c>
      <c r="B396" t="str">
        <v>Callao</v>
      </c>
      <c r="C396">
        <v>3</v>
      </c>
      <c r="X396" t="s">
        <v>13</v>
      </c>
      <c r="Y396" t="s">
        <v>418</v>
      </c>
      <c r="Z396">
        <v>0</v>
      </c>
    </row>
    <row r="397" spans="1:26" x14ac:dyDescent="0.25">
      <c r="A397" t="str">
        <v>ARROZ CORRIENTE A GRANEL</v>
      </c>
      <c r="B397" t="str">
        <v>Callao</v>
      </c>
      <c r="C397">
        <v>0</v>
      </c>
      <c r="X397" t="s">
        <v>241</v>
      </c>
      <c r="Y397" t="s">
        <v>418</v>
      </c>
      <c r="Z397">
        <v>1</v>
      </c>
    </row>
    <row r="398" spans="1:26" x14ac:dyDescent="0.25">
      <c r="A398" t="str">
        <v>AZUCAR RUBIA A GRANEL</v>
      </c>
      <c r="B398" t="str">
        <v>Callao</v>
      </c>
      <c r="C398">
        <v>0</v>
      </c>
      <c r="X398" t="s">
        <v>242</v>
      </c>
      <c r="Y398" t="s">
        <v>418</v>
      </c>
      <c r="Z398">
        <v>1</v>
      </c>
    </row>
    <row r="399" spans="1:26" x14ac:dyDescent="0.25">
      <c r="A399" t="str">
        <v>GELATINA PREPARADA</v>
      </c>
      <c r="B399" t="str">
        <v>Callao</v>
      </c>
      <c r="C399">
        <v>1</v>
      </c>
      <c r="X399" t="s">
        <v>231</v>
      </c>
      <c r="Y399" t="s">
        <v>418</v>
      </c>
      <c r="Z399">
        <v>1</v>
      </c>
    </row>
    <row r="400" spans="1:26" x14ac:dyDescent="0.25">
      <c r="A400" t="str">
        <v>YOGUR DE LECHE DE VACA ENVASADO</v>
      </c>
      <c r="B400" t="str">
        <v>Callao</v>
      </c>
      <c r="C400">
        <v>1</v>
      </c>
      <c r="X400" t="s">
        <v>243</v>
      </c>
      <c r="Y400" t="s">
        <v>418</v>
      </c>
      <c r="Z400">
        <v>0</v>
      </c>
    </row>
    <row r="401" spans="1:26" x14ac:dyDescent="0.25">
      <c r="A401" t="str">
        <v>COCOA ENVASADA EN POLVO</v>
      </c>
      <c r="B401" t="str">
        <v>Callao</v>
      </c>
      <c r="C401">
        <v>1</v>
      </c>
      <c r="X401" t="s">
        <v>70</v>
      </c>
      <c r="Y401" t="s">
        <v>418</v>
      </c>
      <c r="Z401">
        <v>7</v>
      </c>
    </row>
    <row r="402" spans="1:26" x14ac:dyDescent="0.25">
      <c r="A402" t="str">
        <v>HOT DOG DE POLLO</v>
      </c>
      <c r="B402" t="str">
        <v>Callao</v>
      </c>
      <c r="C402">
        <v>0</v>
      </c>
      <c r="X402" t="s">
        <v>244</v>
      </c>
      <c r="Y402" t="s">
        <v>418</v>
      </c>
      <c r="Z402">
        <v>2</v>
      </c>
    </row>
    <row r="403" spans="1:26" x14ac:dyDescent="0.25">
      <c r="A403" t="str">
        <v>ALMUERZO MENU</v>
      </c>
      <c r="B403" t="str">
        <v>Callao</v>
      </c>
      <c r="C403">
        <v>7</v>
      </c>
      <c r="X403" t="s">
        <v>245</v>
      </c>
      <c r="Y403" t="s">
        <v>418</v>
      </c>
      <c r="Z403">
        <v>4</v>
      </c>
    </row>
    <row r="404" spans="1:26" x14ac:dyDescent="0.25">
      <c r="A404" t="str">
        <v>PASTILLA PARA LA EPILEPSIA</v>
      </c>
      <c r="B404" t="str">
        <v>Callao</v>
      </c>
      <c r="C404">
        <v>2</v>
      </c>
      <c r="X404" t="s">
        <v>246</v>
      </c>
      <c r="Y404" t="s">
        <v>418</v>
      </c>
      <c r="Z404">
        <v>2</v>
      </c>
    </row>
    <row r="405" spans="1:26" x14ac:dyDescent="0.25">
      <c r="A405" t="str">
        <v>PIERNA CON ENCUENTRO DE POLLO</v>
      </c>
      <c r="B405" t="str">
        <v>Callao</v>
      </c>
      <c r="C405">
        <v>4</v>
      </c>
      <c r="X405" t="s">
        <v>247</v>
      </c>
      <c r="Y405" t="s">
        <v>418</v>
      </c>
      <c r="Z405">
        <v>1</v>
      </c>
    </row>
    <row r="406" spans="1:26" x14ac:dyDescent="0.25">
      <c r="A406" t="str">
        <v>GALLETAS SALADAS ENVASADAS</v>
      </c>
      <c r="B406" t="str">
        <v>Callao</v>
      </c>
      <c r="C406">
        <v>2</v>
      </c>
      <c r="X406" t="s">
        <v>248</v>
      </c>
      <c r="Y406" t="s">
        <v>418</v>
      </c>
      <c r="Z406">
        <v>0</v>
      </c>
    </row>
    <row r="407" spans="1:26" x14ac:dyDescent="0.25">
      <c r="A407" t="str">
        <v>TAMAL VERDE CHANCHO SERVIDO</v>
      </c>
      <c r="B407" t="str">
        <v>Callao</v>
      </c>
      <c r="C407">
        <v>1</v>
      </c>
      <c r="X407" t="s">
        <v>249</v>
      </c>
      <c r="Y407" t="s">
        <v>418</v>
      </c>
      <c r="Z407">
        <v>1</v>
      </c>
    </row>
    <row r="408" spans="1:26" x14ac:dyDescent="0.25">
      <c r="A408" t="str">
        <v>CEREAL PROCESADO MIXTO ENVASADO</v>
      </c>
      <c r="B408" t="str">
        <v>Callao</v>
      </c>
      <c r="C408">
        <v>0</v>
      </c>
      <c r="X408" t="s">
        <v>13</v>
      </c>
      <c r="Y408" t="s">
        <v>418</v>
      </c>
      <c r="Z408">
        <v>5</v>
      </c>
    </row>
    <row r="409" spans="1:26" x14ac:dyDescent="0.25">
      <c r="A409" t="str">
        <v>SUAVIZANTE DE ROPA</v>
      </c>
      <c r="B409" t="str">
        <v>Callao</v>
      </c>
      <c r="C409">
        <v>1</v>
      </c>
      <c r="X409" t="s">
        <v>590</v>
      </c>
      <c r="Y409" t="s">
        <v>418</v>
      </c>
      <c r="Z409">
        <v>0</v>
      </c>
    </row>
    <row r="410" spans="1:26" x14ac:dyDescent="0.25">
      <c r="A410" t="str">
        <v>AZUCAR RUBIA A GRANEL</v>
      </c>
      <c r="B410" t="str">
        <v>Callao</v>
      </c>
      <c r="C410">
        <v>5</v>
      </c>
      <c r="X410" t="s">
        <v>591</v>
      </c>
      <c r="Y410" t="s">
        <v>418</v>
      </c>
      <c r="Z410">
        <v>0</v>
      </c>
    </row>
    <row r="411" spans="1:26" x14ac:dyDescent="0.25">
      <c r="A411" t="str">
        <v>FIDEOS TALLARIN A GRANEL</v>
      </c>
      <c r="B411" t="str">
        <v>Callao</v>
      </c>
      <c r="C411">
        <v>0</v>
      </c>
      <c r="X411" t="s">
        <v>64</v>
      </c>
      <c r="Y411" t="s">
        <v>418</v>
      </c>
      <c r="Z411">
        <v>1</v>
      </c>
    </row>
    <row r="412" spans="1:26" x14ac:dyDescent="0.25">
      <c r="A412" t="str">
        <v>OREGANO SECO A GRANEL</v>
      </c>
      <c r="B412" t="str">
        <v>Callao</v>
      </c>
      <c r="C412">
        <v>0</v>
      </c>
      <c r="X412" t="s">
        <v>592</v>
      </c>
      <c r="Y412" t="s">
        <v>418</v>
      </c>
      <c r="Z412">
        <v>0</v>
      </c>
    </row>
    <row r="413" spans="1:26" x14ac:dyDescent="0.25">
      <c r="A413" t="str">
        <v>JABON PARA LAVAR ROPA</v>
      </c>
      <c r="B413" t="str">
        <v>Callao</v>
      </c>
      <c r="C413">
        <v>1</v>
      </c>
      <c r="X413" t="s">
        <v>593</v>
      </c>
      <c r="Y413" t="s">
        <v>418</v>
      </c>
      <c r="Z413">
        <v>1</v>
      </c>
    </row>
    <row r="414" spans="1:26" x14ac:dyDescent="0.25">
      <c r="A414" t="str">
        <v>VELA</v>
      </c>
      <c r="B414" t="str">
        <v>Callao</v>
      </c>
      <c r="C414">
        <v>0</v>
      </c>
      <c r="X414" t="s">
        <v>594</v>
      </c>
      <c r="Y414" t="s">
        <v>418</v>
      </c>
      <c r="Z414">
        <v>1</v>
      </c>
    </row>
    <row r="415" spans="1:26" x14ac:dyDescent="0.25">
      <c r="A415" t="str">
        <v>PASTILLA PARA MIGRA A</v>
      </c>
      <c r="B415" t="str">
        <v>Callao</v>
      </c>
      <c r="C415">
        <v>1</v>
      </c>
      <c r="X415" t="s">
        <v>595</v>
      </c>
      <c r="Y415" t="s">
        <v>418</v>
      </c>
      <c r="Z415">
        <v>1</v>
      </c>
    </row>
    <row r="416" spans="1:26" x14ac:dyDescent="0.25">
      <c r="A416" t="str">
        <v>PASTILLA PARA PRESION</v>
      </c>
      <c r="B416" t="str">
        <v>Callao</v>
      </c>
      <c r="C416">
        <v>1</v>
      </c>
      <c r="X416" t="s">
        <v>190</v>
      </c>
      <c r="Y416" t="s">
        <v>418</v>
      </c>
      <c r="Z416">
        <v>0</v>
      </c>
    </row>
    <row r="417" spans="1:26" x14ac:dyDescent="0.25">
      <c r="A417" t="str">
        <v>PASTILLA ANTIINFLAMATORIO</v>
      </c>
      <c r="B417" t="str">
        <v>Callao</v>
      </c>
      <c r="C417">
        <v>1</v>
      </c>
      <c r="X417" t="s">
        <v>242</v>
      </c>
      <c r="Y417" t="s">
        <v>418</v>
      </c>
      <c r="Z417">
        <v>0</v>
      </c>
    </row>
    <row r="418" spans="1:26" x14ac:dyDescent="0.25">
      <c r="A418" t="str">
        <v>ACEITE VEGETAL A GRANEL</v>
      </c>
      <c r="B418" t="str">
        <v>Callao</v>
      </c>
      <c r="C418">
        <v>0</v>
      </c>
      <c r="X418" t="s">
        <v>2</v>
      </c>
      <c r="Y418" t="s">
        <v>418</v>
      </c>
      <c r="Z418">
        <v>2</v>
      </c>
    </row>
    <row r="419" spans="1:26" x14ac:dyDescent="0.25">
      <c r="A419" t="str">
        <v>YOGUR DE LECHE DE VACA ENVASADO</v>
      </c>
      <c r="B419" t="str">
        <v>Callao</v>
      </c>
      <c r="C419">
        <v>0</v>
      </c>
      <c r="X419" t="s">
        <v>596</v>
      </c>
      <c r="Y419" t="s">
        <v>418</v>
      </c>
      <c r="Z419">
        <v>3</v>
      </c>
    </row>
    <row r="420" spans="1:26" x14ac:dyDescent="0.25">
      <c r="A420" t="str">
        <v>LECHE EVAPORADA</v>
      </c>
      <c r="B420" t="str">
        <v>Callao</v>
      </c>
      <c r="C420">
        <v>2</v>
      </c>
      <c r="X420" t="s">
        <v>189</v>
      </c>
      <c r="Y420" t="s">
        <v>418</v>
      </c>
      <c r="Z420">
        <v>0</v>
      </c>
    </row>
    <row r="421" spans="1:26" x14ac:dyDescent="0.25">
      <c r="A421" t="str">
        <v>HUEVO DE GALLINA BLANCO A GRANEL</v>
      </c>
      <c r="B421" t="str">
        <v>Callao</v>
      </c>
      <c r="C421">
        <v>3</v>
      </c>
      <c r="X421" t="s">
        <v>89</v>
      </c>
      <c r="Y421" t="s">
        <v>418</v>
      </c>
      <c r="Z421">
        <v>9</v>
      </c>
    </row>
    <row r="422" spans="1:26" x14ac:dyDescent="0.25">
      <c r="A422" t="str">
        <v>REPOLLO</v>
      </c>
      <c r="B422" t="str">
        <v>Callao</v>
      </c>
      <c r="C422">
        <v>0</v>
      </c>
      <c r="X422" t="s">
        <v>59</v>
      </c>
      <c r="Y422" t="s">
        <v>418</v>
      </c>
      <c r="Z422">
        <v>10</v>
      </c>
    </row>
    <row r="423" spans="1:26" x14ac:dyDescent="0.25">
      <c r="A423" t="str">
        <v>PECHUGA DE POLLO</v>
      </c>
      <c r="B423" t="str">
        <v>Callao</v>
      </c>
      <c r="C423">
        <v>9</v>
      </c>
      <c r="X423" t="s">
        <v>229</v>
      </c>
      <c r="Y423" t="s">
        <v>418</v>
      </c>
      <c r="Z423">
        <v>1</v>
      </c>
    </row>
    <row r="424" spans="1:26" x14ac:dyDescent="0.25">
      <c r="A424" t="str">
        <v>SIERRA FRESCA</v>
      </c>
      <c r="B424" t="str">
        <v>Callao</v>
      </c>
      <c r="C424">
        <v>10</v>
      </c>
      <c r="X424" t="s">
        <v>238</v>
      </c>
      <c r="Y424" t="s">
        <v>418</v>
      </c>
      <c r="Z424">
        <v>8</v>
      </c>
    </row>
    <row r="425" spans="1:26" x14ac:dyDescent="0.25">
      <c r="A425" t="str">
        <v>FIDEOS TALLARIN ENVASADO</v>
      </c>
      <c r="B425" t="str">
        <v>Callao</v>
      </c>
      <c r="C425">
        <v>1</v>
      </c>
      <c r="X425" t="s">
        <v>597</v>
      </c>
      <c r="Y425" t="s">
        <v>418</v>
      </c>
      <c r="Z425">
        <v>12</v>
      </c>
    </row>
    <row r="426" spans="1:26" x14ac:dyDescent="0.25">
      <c r="A426" t="str">
        <v>SANCOCHADO DE RES</v>
      </c>
      <c r="B426" t="str">
        <v>Callao</v>
      </c>
      <c r="C426">
        <v>8</v>
      </c>
      <c r="X426" t="s">
        <v>598</v>
      </c>
      <c r="Y426" t="s">
        <v>418</v>
      </c>
      <c r="Z426">
        <v>1</v>
      </c>
    </row>
    <row r="427" spans="1:26" x14ac:dyDescent="0.25">
      <c r="A427" t="str">
        <v>ROBALO FRESCO</v>
      </c>
      <c r="B427" t="str">
        <v>Callao</v>
      </c>
      <c r="C427">
        <v>12</v>
      </c>
      <c r="X427" t="s">
        <v>599</v>
      </c>
      <c r="Y427" t="s">
        <v>418</v>
      </c>
      <c r="Z427">
        <v>0</v>
      </c>
    </row>
    <row r="428" spans="1:26" x14ac:dyDescent="0.25">
      <c r="A428" t="str">
        <v>ACHOCOLATADO EN POLVO</v>
      </c>
      <c r="B428" t="str">
        <v>Callao</v>
      </c>
      <c r="C428">
        <v>1</v>
      </c>
      <c r="X428" t="s">
        <v>243</v>
      </c>
      <c r="Y428" t="s">
        <v>418</v>
      </c>
      <c r="Z428">
        <v>1</v>
      </c>
    </row>
    <row r="429" spans="1:26" x14ac:dyDescent="0.25">
      <c r="A429" t="str">
        <v>GALLETA RELLENA ENVASADA</v>
      </c>
      <c r="B429" t="str">
        <v>Callao</v>
      </c>
      <c r="C429">
        <v>0</v>
      </c>
      <c r="X429" t="s">
        <v>600</v>
      </c>
      <c r="Y429" t="s">
        <v>418</v>
      </c>
      <c r="Z429">
        <v>1</v>
      </c>
    </row>
    <row r="430" spans="1:26" x14ac:dyDescent="0.25">
      <c r="A430" t="str">
        <v>HOT DOG DE POLLO</v>
      </c>
      <c r="B430" t="str">
        <v>Callao</v>
      </c>
      <c r="C430">
        <v>1</v>
      </c>
      <c r="X430" t="s">
        <v>601</v>
      </c>
      <c r="Y430" t="s">
        <v>418</v>
      </c>
      <c r="Z430">
        <v>1</v>
      </c>
    </row>
    <row r="431" spans="1:26" x14ac:dyDescent="0.25">
      <c r="A431" t="str">
        <v>SILLAO ENVASADO</v>
      </c>
      <c r="B431" t="str">
        <v>Callao</v>
      </c>
      <c r="C431">
        <v>1</v>
      </c>
      <c r="X431" t="s">
        <v>602</v>
      </c>
      <c r="Y431" t="s">
        <v>418</v>
      </c>
      <c r="Z431">
        <v>0</v>
      </c>
    </row>
    <row r="432" spans="1:26" x14ac:dyDescent="0.25">
      <c r="A432" t="str">
        <v>PASAS A GRANEL</v>
      </c>
      <c r="B432" t="str">
        <v>Callao</v>
      </c>
      <c r="C432">
        <v>1</v>
      </c>
      <c r="X432" t="s">
        <v>603</v>
      </c>
      <c r="Y432" t="s">
        <v>418</v>
      </c>
      <c r="Z432">
        <v>3</v>
      </c>
    </row>
    <row r="433" spans="1:26" x14ac:dyDescent="0.25">
      <c r="A433" t="str">
        <v>AJI ROCOTO</v>
      </c>
      <c r="B433" t="str">
        <v>Callao</v>
      </c>
      <c r="C433">
        <v>0</v>
      </c>
      <c r="X433" t="s">
        <v>604</v>
      </c>
      <c r="Y433" t="s">
        <v>418</v>
      </c>
      <c r="Z433">
        <v>6</v>
      </c>
    </row>
    <row r="434" spans="1:26" x14ac:dyDescent="0.25">
      <c r="A434" t="str">
        <v>MERMELADA ENVASADA DE FRESA</v>
      </c>
      <c r="B434" t="str">
        <v>Callao</v>
      </c>
      <c r="C434">
        <v>3</v>
      </c>
      <c r="X434" t="s">
        <v>605</v>
      </c>
      <c r="Y434" t="s">
        <v>418</v>
      </c>
      <c r="Z434">
        <v>3</v>
      </c>
    </row>
    <row r="435" spans="1:26" x14ac:dyDescent="0.25">
      <c r="A435" t="str">
        <v>SALCHIPOLLO</v>
      </c>
      <c r="B435" t="str">
        <v>Callao</v>
      </c>
      <c r="C435">
        <v>6</v>
      </c>
      <c r="X435" t="s">
        <v>606</v>
      </c>
      <c r="Y435" t="s">
        <v>418</v>
      </c>
      <c r="Z435">
        <v>5</v>
      </c>
    </row>
    <row r="436" spans="1:26" x14ac:dyDescent="0.25">
      <c r="A436" t="str">
        <v>EXPRIMIDOR</v>
      </c>
      <c r="B436" t="str">
        <v>Callao</v>
      </c>
      <c r="C436">
        <v>3</v>
      </c>
      <c r="X436" t="s">
        <v>194</v>
      </c>
      <c r="Y436" t="s">
        <v>418</v>
      </c>
      <c r="Z436">
        <v>3</v>
      </c>
    </row>
    <row r="437" spans="1:26" x14ac:dyDescent="0.25">
      <c r="A437" t="str">
        <v>PASTILLA PARA EL VOMITO</v>
      </c>
      <c r="B437" t="str">
        <v>Callao</v>
      </c>
      <c r="C437">
        <v>5</v>
      </c>
      <c r="X437" t="s">
        <v>248</v>
      </c>
      <c r="Y437" t="s">
        <v>418</v>
      </c>
      <c r="Z437">
        <v>1</v>
      </c>
    </row>
    <row r="438" spans="1:26" x14ac:dyDescent="0.25">
      <c r="A438" t="str">
        <v>AVENA PREPARADA</v>
      </c>
      <c r="B438" t="str">
        <v>Callao</v>
      </c>
      <c r="C438">
        <v>3</v>
      </c>
      <c r="X438" t="s">
        <v>607</v>
      </c>
      <c r="Y438" t="s">
        <v>418</v>
      </c>
      <c r="Z438">
        <v>12</v>
      </c>
    </row>
    <row r="439" spans="1:26" x14ac:dyDescent="0.25">
      <c r="A439" t="str">
        <v>CEREAL PROCESADO MIXTO ENVASADO</v>
      </c>
      <c r="B439" t="str">
        <v>Callao</v>
      </c>
      <c r="C439">
        <v>1</v>
      </c>
      <c r="X439" t="s">
        <v>608</v>
      </c>
      <c r="Y439" t="s">
        <v>418</v>
      </c>
      <c r="Z439">
        <v>2</v>
      </c>
    </row>
    <row r="440" spans="1:26" x14ac:dyDescent="0.25">
      <c r="A440" t="str">
        <v>FILETE DE PESCADO FRESCO</v>
      </c>
      <c r="B440" t="str">
        <v>Callao</v>
      </c>
      <c r="C440">
        <v>12</v>
      </c>
      <c r="X440" t="s">
        <v>75</v>
      </c>
      <c r="Y440" t="s">
        <v>418</v>
      </c>
      <c r="Z440">
        <v>5</v>
      </c>
    </row>
    <row r="441" spans="1:26" x14ac:dyDescent="0.25">
      <c r="A441" t="str">
        <v>PLATANO FRITO ENVASADO</v>
      </c>
      <c r="B441" t="str">
        <v>Callao</v>
      </c>
      <c r="C441">
        <v>2</v>
      </c>
      <c r="X441" t="s">
        <v>609</v>
      </c>
      <c r="Y441" t="s">
        <v>418</v>
      </c>
      <c r="Z441">
        <v>7</v>
      </c>
    </row>
    <row r="442" spans="1:26" x14ac:dyDescent="0.25">
      <c r="A442" t="str">
        <v>GASEOSA NO RETORNABLE</v>
      </c>
      <c r="B442" t="str">
        <v>Callao</v>
      </c>
      <c r="C442">
        <v>5</v>
      </c>
      <c r="X442" t="s">
        <v>242</v>
      </c>
      <c r="Y442" t="s">
        <v>418</v>
      </c>
      <c r="Z442">
        <v>5</v>
      </c>
    </row>
    <row r="443" spans="1:26" x14ac:dyDescent="0.25">
      <c r="A443" t="str">
        <v>AGUADITO SERVIDO</v>
      </c>
      <c r="B443" t="str">
        <v>Callao</v>
      </c>
      <c r="C443">
        <v>7</v>
      </c>
      <c r="X443" t="s">
        <v>100</v>
      </c>
      <c r="Y443" t="s">
        <v>418</v>
      </c>
      <c r="Z443">
        <v>3</v>
      </c>
    </row>
    <row r="444" spans="1:26" x14ac:dyDescent="0.25">
      <c r="A444" t="str">
        <v>YOGUR DE LECHE DE VACA ENVASADO</v>
      </c>
      <c r="B444" t="str">
        <v>Callao</v>
      </c>
      <c r="C444">
        <v>5</v>
      </c>
      <c r="X444" t="s">
        <v>610</v>
      </c>
      <c r="Y444" t="s">
        <v>418</v>
      </c>
      <c r="Z444">
        <v>1</v>
      </c>
    </row>
    <row r="445" spans="1:26" x14ac:dyDescent="0.25">
      <c r="A445" t="str">
        <v>CARNE DE RES SIN HUESO</v>
      </c>
      <c r="B445" t="str">
        <v>Callao</v>
      </c>
      <c r="C445">
        <v>3</v>
      </c>
      <c r="X445" t="s">
        <v>611</v>
      </c>
      <c r="Y445" t="s">
        <v>418</v>
      </c>
      <c r="Z445">
        <v>1</v>
      </c>
    </row>
    <row r="446" spans="1:26" x14ac:dyDescent="0.25">
      <c r="A446" t="str">
        <v>PAN VARIADO</v>
      </c>
      <c r="B446" t="str">
        <v>Callao</v>
      </c>
      <c r="C446">
        <v>1</v>
      </c>
      <c r="X446" t="s">
        <v>66</v>
      </c>
      <c r="Y446" t="s">
        <v>418</v>
      </c>
      <c r="Z446">
        <v>3</v>
      </c>
    </row>
    <row r="447" spans="1:26" x14ac:dyDescent="0.25">
      <c r="A447" t="str">
        <v>LECHE DE SOYA SERVIDO</v>
      </c>
      <c r="B447" t="str">
        <v>Callao</v>
      </c>
      <c r="C447">
        <v>1</v>
      </c>
      <c r="X447" t="s">
        <v>612</v>
      </c>
      <c r="Y447" t="s">
        <v>418</v>
      </c>
      <c r="Z447">
        <v>2</v>
      </c>
    </row>
    <row r="448" spans="1:26" x14ac:dyDescent="0.25">
      <c r="A448" t="str">
        <v>FIDEO TALLARIN ENVASADO</v>
      </c>
      <c r="B448" t="str">
        <v>Callao</v>
      </c>
      <c r="C448">
        <v>3</v>
      </c>
      <c r="X448" t="s">
        <v>147</v>
      </c>
      <c r="Y448" t="s">
        <v>418</v>
      </c>
      <c r="Z448">
        <v>1</v>
      </c>
    </row>
    <row r="449" spans="1:26" x14ac:dyDescent="0.25">
      <c r="A449" t="str">
        <v>PAPA CANCHAN</v>
      </c>
      <c r="B449" t="str">
        <v>Callao</v>
      </c>
      <c r="C449">
        <v>2</v>
      </c>
      <c r="X449" t="s">
        <v>613</v>
      </c>
      <c r="Y449" t="s">
        <v>418</v>
      </c>
      <c r="Z449">
        <v>0</v>
      </c>
    </row>
    <row r="450" spans="1:26" x14ac:dyDescent="0.25">
      <c r="A450" t="str">
        <v>ZANAHORIA ENTERA</v>
      </c>
      <c r="B450" t="str">
        <v>Callao</v>
      </c>
      <c r="C450">
        <v>1</v>
      </c>
      <c r="X450" t="s">
        <v>614</v>
      </c>
      <c r="Y450" t="s">
        <v>418</v>
      </c>
      <c r="Z450">
        <v>0</v>
      </c>
    </row>
    <row r="451" spans="1:26" x14ac:dyDescent="0.25">
      <c r="A451" t="str">
        <v>CABEZA DE CEBOLLA ROJA</v>
      </c>
      <c r="B451" t="str">
        <v>Callao</v>
      </c>
      <c r="C451">
        <v>0</v>
      </c>
      <c r="X451" t="s">
        <v>177</v>
      </c>
      <c r="Y451" t="s">
        <v>418</v>
      </c>
      <c r="Z451">
        <v>1</v>
      </c>
    </row>
    <row r="452" spans="1:26" x14ac:dyDescent="0.25">
      <c r="A452" t="str">
        <v>TOMATE DE LA REGION</v>
      </c>
      <c r="B452" t="str">
        <v>Callao</v>
      </c>
      <c r="C452">
        <v>0</v>
      </c>
      <c r="X452" t="s">
        <v>615</v>
      </c>
      <c r="Y452" t="s">
        <v>418</v>
      </c>
      <c r="Z452">
        <v>1</v>
      </c>
    </row>
    <row r="453" spans="1:26" x14ac:dyDescent="0.25">
      <c r="A453" t="str">
        <v>MENUDENCIA DE POLLO</v>
      </c>
      <c r="B453" t="str">
        <v>Callao</v>
      </c>
      <c r="C453">
        <v>1</v>
      </c>
      <c r="X453" t="s">
        <v>616</v>
      </c>
      <c r="Y453" t="s">
        <v>418</v>
      </c>
      <c r="Z453">
        <v>0</v>
      </c>
    </row>
    <row r="454" spans="1:26" x14ac:dyDescent="0.25">
      <c r="A454" t="str">
        <v>SEMOLA ENVASADA</v>
      </c>
      <c r="B454" t="str">
        <v>Callao</v>
      </c>
      <c r="C454">
        <v>1</v>
      </c>
      <c r="X454" t="s">
        <v>611</v>
      </c>
      <c r="Y454" t="s">
        <v>418</v>
      </c>
      <c r="Z454">
        <v>2</v>
      </c>
    </row>
    <row r="455" spans="1:26" x14ac:dyDescent="0.25">
      <c r="A455" t="str">
        <v>SAZONADOR VERDE ENVASADO</v>
      </c>
      <c r="B455" t="str">
        <v>Callao</v>
      </c>
      <c r="C455">
        <v>0</v>
      </c>
      <c r="X455" t="s">
        <v>238</v>
      </c>
      <c r="Y455" t="s">
        <v>418</v>
      </c>
      <c r="Z455">
        <v>5</v>
      </c>
    </row>
    <row r="456" spans="1:26" x14ac:dyDescent="0.25">
      <c r="A456" t="str">
        <v>LECHE DE SOYA SERVIDO</v>
      </c>
      <c r="B456" t="str">
        <v>Callao</v>
      </c>
      <c r="C456">
        <v>2</v>
      </c>
      <c r="X456" t="s">
        <v>153</v>
      </c>
      <c r="Y456" t="s">
        <v>418</v>
      </c>
      <c r="Z456">
        <v>1</v>
      </c>
    </row>
    <row r="457" spans="1:26" x14ac:dyDescent="0.25">
      <c r="A457" t="str">
        <v>SANCOCHADO DE RES</v>
      </c>
      <c r="B457" t="str">
        <v>Callao</v>
      </c>
      <c r="C457">
        <v>5</v>
      </c>
      <c r="X457" t="s">
        <v>617</v>
      </c>
      <c r="Y457" t="s">
        <v>418</v>
      </c>
      <c r="Z457">
        <v>4</v>
      </c>
    </row>
    <row r="458" spans="1:26" x14ac:dyDescent="0.25">
      <c r="A458" t="str">
        <v>VERDURA PICADA</v>
      </c>
      <c r="B458" t="str">
        <v>Callao</v>
      </c>
      <c r="C458">
        <v>1</v>
      </c>
      <c r="X458" t="s">
        <v>618</v>
      </c>
      <c r="Y458" t="s">
        <v>418</v>
      </c>
      <c r="Z458">
        <v>2</v>
      </c>
    </row>
    <row r="459" spans="1:26" x14ac:dyDescent="0.25">
      <c r="A459" t="str">
        <v>LOMITO DE ATUN</v>
      </c>
      <c r="B459" t="str">
        <v>Callao</v>
      </c>
      <c r="C459">
        <v>4</v>
      </c>
      <c r="X459" t="s">
        <v>227</v>
      </c>
      <c r="Y459" t="s">
        <v>418</v>
      </c>
      <c r="Z459">
        <v>1</v>
      </c>
    </row>
    <row r="460" spans="1:26" x14ac:dyDescent="0.25">
      <c r="A460" t="str">
        <v>MANZANA ISRAEL</v>
      </c>
      <c r="B460" t="str">
        <v>Callao</v>
      </c>
      <c r="C460">
        <v>2</v>
      </c>
      <c r="X460" t="s">
        <v>612</v>
      </c>
      <c r="Y460" t="s">
        <v>418</v>
      </c>
      <c r="Z460">
        <v>1</v>
      </c>
    </row>
    <row r="461" spans="1:26" x14ac:dyDescent="0.25">
      <c r="A461" t="str">
        <v>LEJIA EN COJIN</v>
      </c>
      <c r="B461" t="str">
        <v>Callao</v>
      </c>
      <c r="C461">
        <v>1</v>
      </c>
      <c r="X461" t="s">
        <v>619</v>
      </c>
      <c r="Y461" t="s">
        <v>418</v>
      </c>
      <c r="Z461">
        <v>0</v>
      </c>
    </row>
    <row r="462" spans="1:26" x14ac:dyDescent="0.25">
      <c r="A462" t="str">
        <v>PAPA CANCHAN</v>
      </c>
      <c r="B462" t="str">
        <v>Callao</v>
      </c>
      <c r="C462">
        <v>1</v>
      </c>
      <c r="X462" t="s">
        <v>60</v>
      </c>
      <c r="Y462" t="s">
        <v>418</v>
      </c>
      <c r="Z462">
        <v>6</v>
      </c>
    </row>
    <row r="463" spans="1:26" x14ac:dyDescent="0.25">
      <c r="A463" t="str">
        <v>SAZONADOR AJI PANCA MOLIDO ENVASADO</v>
      </c>
      <c r="B463" t="str">
        <v>Callao</v>
      </c>
      <c r="C463">
        <v>0</v>
      </c>
      <c r="X463" t="s">
        <v>620</v>
      </c>
      <c r="Y463" t="s">
        <v>418</v>
      </c>
      <c r="Z463">
        <v>0</v>
      </c>
    </row>
    <row r="464" spans="1:26" x14ac:dyDescent="0.25">
      <c r="A464" t="str">
        <v>POLLO EVISCERADO</v>
      </c>
      <c r="B464" t="str">
        <v>Callao</v>
      </c>
      <c r="C464">
        <v>6</v>
      </c>
      <c r="X464" t="s">
        <v>621</v>
      </c>
      <c r="Y464" t="s">
        <v>418</v>
      </c>
      <c r="Z464">
        <v>1</v>
      </c>
    </row>
    <row r="465" spans="1:26" x14ac:dyDescent="0.25">
      <c r="A465" t="str">
        <v>NARANJILLA</v>
      </c>
      <c r="B465" t="str">
        <v>Callao</v>
      </c>
      <c r="C465">
        <v>0</v>
      </c>
      <c r="X465" t="s">
        <v>622</v>
      </c>
      <c r="Y465" t="s">
        <v>418</v>
      </c>
      <c r="Z465">
        <v>1</v>
      </c>
    </row>
    <row r="466" spans="1:26" x14ac:dyDescent="0.25">
      <c r="A466" t="str">
        <v>SAZONADOR AMARILLO EN POLVO ENVASADO</v>
      </c>
      <c r="B466" t="str">
        <v>Callao</v>
      </c>
      <c r="C466">
        <v>1</v>
      </c>
      <c r="X466" t="s">
        <v>37</v>
      </c>
      <c r="Y466" t="s">
        <v>418</v>
      </c>
      <c r="Z466">
        <v>2</v>
      </c>
    </row>
    <row r="467" spans="1:26" x14ac:dyDescent="0.25">
      <c r="A467" t="str">
        <v>GALLETAS RELLENAS ENVASADA</v>
      </c>
      <c r="B467" t="str">
        <v>Callao</v>
      </c>
      <c r="C467">
        <v>1</v>
      </c>
      <c r="X467" t="s">
        <v>623</v>
      </c>
      <c r="Y467" t="s">
        <v>418</v>
      </c>
      <c r="Z467">
        <v>0</v>
      </c>
    </row>
    <row r="468" spans="1:26" x14ac:dyDescent="0.25">
      <c r="A468" t="str">
        <v>PLATANO VERDE</v>
      </c>
      <c r="B468" t="str">
        <v>Callao</v>
      </c>
      <c r="C468">
        <v>2</v>
      </c>
      <c r="X468" t="s">
        <v>71</v>
      </c>
      <c r="Y468" t="s">
        <v>418</v>
      </c>
      <c r="Z468">
        <v>5</v>
      </c>
    </row>
    <row r="469" spans="1:26" x14ac:dyDescent="0.25">
      <c r="A469" t="str">
        <v>AJI PANCA MOLIDO ENVASADO</v>
      </c>
      <c r="B469" t="str">
        <v>Callao</v>
      </c>
      <c r="C469">
        <v>0</v>
      </c>
      <c r="X469" t="s">
        <v>624</v>
      </c>
      <c r="Y469" t="s">
        <v>418</v>
      </c>
      <c r="Z469">
        <v>1</v>
      </c>
    </row>
    <row r="470" spans="1:26" x14ac:dyDescent="0.25">
      <c r="A470" t="str">
        <v>PASAJE EN MOTOTAXI</v>
      </c>
      <c r="B470" t="str">
        <v>Callao</v>
      </c>
      <c r="C470">
        <v>5</v>
      </c>
      <c r="X470" t="s">
        <v>150</v>
      </c>
      <c r="Y470" t="s">
        <v>418</v>
      </c>
      <c r="Z470">
        <v>10</v>
      </c>
    </row>
    <row r="471" spans="1:26" x14ac:dyDescent="0.25">
      <c r="A471" t="str">
        <v>POP CORN BOCADITO</v>
      </c>
      <c r="B471" t="str">
        <v>Callao</v>
      </c>
      <c r="C471">
        <v>1</v>
      </c>
      <c r="X471" t="s">
        <v>610</v>
      </c>
      <c r="Y471" t="s">
        <v>418</v>
      </c>
      <c r="Z471">
        <v>2</v>
      </c>
    </row>
    <row r="472" spans="1:26" x14ac:dyDescent="0.25">
      <c r="A472" t="str">
        <v>BONITO FRESCO</v>
      </c>
      <c r="B472" t="str">
        <v>Callao</v>
      </c>
      <c r="C472">
        <v>10</v>
      </c>
      <c r="X472" t="s">
        <v>625</v>
      </c>
      <c r="Y472" t="s">
        <v>418</v>
      </c>
      <c r="Z472">
        <v>10</v>
      </c>
    </row>
    <row r="473" spans="1:26" x14ac:dyDescent="0.25">
      <c r="A473" t="str">
        <v>PAN VARIADO</v>
      </c>
      <c r="B473" t="str">
        <v>Callao</v>
      </c>
      <c r="C473">
        <v>2</v>
      </c>
      <c r="X473" t="s">
        <v>626</v>
      </c>
      <c r="Y473" t="s">
        <v>418</v>
      </c>
      <c r="Z473">
        <v>3</v>
      </c>
    </row>
    <row r="474" spans="1:26" x14ac:dyDescent="0.25">
      <c r="A474" t="str">
        <v>LANGOSTINO SIN CAPARAZON</v>
      </c>
      <c r="B474" t="str">
        <v>Callao</v>
      </c>
      <c r="C474">
        <v>10</v>
      </c>
      <c r="X474" t="s">
        <v>627</v>
      </c>
      <c r="Y474" t="s">
        <v>418</v>
      </c>
      <c r="Z474">
        <v>15</v>
      </c>
    </row>
    <row r="475" spans="1:26" x14ac:dyDescent="0.25">
      <c r="A475" t="str">
        <v>LECHE EVAPORADA ENTERA</v>
      </c>
      <c r="B475" t="str">
        <v>Callao</v>
      </c>
      <c r="C475">
        <v>3</v>
      </c>
      <c r="X475" t="s">
        <v>628</v>
      </c>
      <c r="Y475" t="s">
        <v>418</v>
      </c>
      <c r="Z475">
        <v>0</v>
      </c>
    </row>
    <row r="476" spans="1:26" x14ac:dyDescent="0.25">
      <c r="A476" t="str">
        <v>CAMARONES FRESCOS A GRANEL</v>
      </c>
      <c r="B476" t="str">
        <v>Callao</v>
      </c>
      <c r="C476">
        <v>15</v>
      </c>
      <c r="X476" t="s">
        <v>629</v>
      </c>
      <c r="Y476" t="s">
        <v>418</v>
      </c>
      <c r="Z476">
        <v>10</v>
      </c>
    </row>
    <row r="477" spans="1:26" x14ac:dyDescent="0.25">
      <c r="A477" t="str">
        <v>AJI LIMO</v>
      </c>
      <c r="B477" t="str">
        <v>Callao</v>
      </c>
      <c r="C477">
        <v>0</v>
      </c>
      <c r="X477" t="s">
        <v>630</v>
      </c>
      <c r="Y477" t="s">
        <v>418</v>
      </c>
      <c r="Z477">
        <v>3</v>
      </c>
    </row>
    <row r="478" spans="1:26" x14ac:dyDescent="0.25">
      <c r="A478" t="str">
        <v>PASAJE EN AUTO</v>
      </c>
      <c r="B478" t="str">
        <v>Callao</v>
      </c>
      <c r="C478">
        <v>10</v>
      </c>
      <c r="X478" t="s">
        <v>631</v>
      </c>
      <c r="Y478" t="s">
        <v>418</v>
      </c>
      <c r="Z478">
        <v>3</v>
      </c>
    </row>
    <row r="479" spans="1:26" x14ac:dyDescent="0.25">
      <c r="A479" t="str">
        <v>PROPINA PARA NIETA</v>
      </c>
      <c r="B479" t="str">
        <v>Callao</v>
      </c>
      <c r="C479">
        <v>3</v>
      </c>
      <c r="X479" t="s">
        <v>610</v>
      </c>
      <c r="Y479" t="s">
        <v>418</v>
      </c>
      <c r="Z479">
        <v>0</v>
      </c>
    </row>
    <row r="480" spans="1:26" x14ac:dyDescent="0.25">
      <c r="A480" t="str">
        <v>GASOLINA 84 OCTANOS</v>
      </c>
      <c r="B480" t="str">
        <v>Callao</v>
      </c>
      <c r="C480">
        <v>3</v>
      </c>
      <c r="X480" t="s">
        <v>632</v>
      </c>
      <c r="Y480" t="s">
        <v>418</v>
      </c>
      <c r="Z480">
        <v>1</v>
      </c>
    </row>
    <row r="481" spans="1:26" x14ac:dyDescent="0.25">
      <c r="A481" t="str">
        <v>PAN VARIADO</v>
      </c>
      <c r="B481" t="str">
        <v>Callao</v>
      </c>
      <c r="C481">
        <v>0</v>
      </c>
      <c r="X481" t="s">
        <v>633</v>
      </c>
      <c r="Y481" t="s">
        <v>418</v>
      </c>
      <c r="Z481">
        <v>4</v>
      </c>
    </row>
    <row r="482" spans="1:26" x14ac:dyDescent="0.25">
      <c r="A482" t="str">
        <v>MARGARINA ENVASADA CON SAL</v>
      </c>
      <c r="B482" t="str">
        <v>Callao</v>
      </c>
      <c r="C482">
        <v>1</v>
      </c>
      <c r="X482" t="s">
        <v>223</v>
      </c>
      <c r="Y482" t="s">
        <v>418</v>
      </c>
      <c r="Z482">
        <v>10</v>
      </c>
    </row>
    <row r="483" spans="1:26" x14ac:dyDescent="0.25">
      <c r="A483" t="str">
        <v>LECHE FRESCA UHT ENTERA</v>
      </c>
      <c r="B483" t="str">
        <v>Callao</v>
      </c>
      <c r="C483">
        <v>4</v>
      </c>
      <c r="X483" t="s">
        <v>634</v>
      </c>
      <c r="Y483" t="s">
        <v>418</v>
      </c>
      <c r="Z483">
        <v>2</v>
      </c>
    </row>
    <row r="484" spans="1:26" x14ac:dyDescent="0.25">
      <c r="A484" t="str">
        <v>PASAJE AUTO</v>
      </c>
      <c r="B484" t="str">
        <v>Callao</v>
      </c>
      <c r="C484">
        <v>10</v>
      </c>
      <c r="X484" t="s">
        <v>60</v>
      </c>
      <c r="Y484" t="s">
        <v>418</v>
      </c>
      <c r="Z484">
        <v>8</v>
      </c>
    </row>
    <row r="485" spans="1:26" x14ac:dyDescent="0.25">
      <c r="A485" t="str">
        <v>FREJOL BAYO PRECOCIDO</v>
      </c>
      <c r="B485" t="str">
        <v>Callao</v>
      </c>
      <c r="C485">
        <v>2</v>
      </c>
      <c r="X485" t="s">
        <v>635</v>
      </c>
      <c r="Y485" t="s">
        <v>418</v>
      </c>
      <c r="Z485">
        <v>1</v>
      </c>
    </row>
    <row r="486" spans="1:26" x14ac:dyDescent="0.25">
      <c r="A486" t="str">
        <v>POLLO EVISCERADO</v>
      </c>
      <c r="B486" t="str">
        <v>Callao</v>
      </c>
      <c r="C486">
        <v>8</v>
      </c>
      <c r="X486" t="s">
        <v>636</v>
      </c>
      <c r="Y486" t="s">
        <v>418</v>
      </c>
      <c r="Z486">
        <v>0</v>
      </c>
    </row>
    <row r="487" spans="1:26" x14ac:dyDescent="0.25">
      <c r="A487" t="str">
        <v>VINAGRE ENVASADO</v>
      </c>
      <c r="B487" t="str">
        <v>Callao</v>
      </c>
      <c r="C487">
        <v>1</v>
      </c>
      <c r="X487" t="s">
        <v>637</v>
      </c>
      <c r="Y487" t="s">
        <v>418</v>
      </c>
      <c r="Z487">
        <v>1</v>
      </c>
    </row>
    <row r="488" spans="1:26" x14ac:dyDescent="0.25">
      <c r="A488" t="str">
        <v>AJI PANCA MOLIDO A GRANEL</v>
      </c>
      <c r="B488" t="str">
        <v>Callao</v>
      </c>
      <c r="C488">
        <v>0</v>
      </c>
      <c r="X488" t="s">
        <v>638</v>
      </c>
      <c r="Y488" t="s">
        <v>418</v>
      </c>
      <c r="Z488">
        <v>1</v>
      </c>
    </row>
    <row r="489" spans="1:26" x14ac:dyDescent="0.25">
      <c r="A489" t="str">
        <v>MANGO HADEN</v>
      </c>
      <c r="B489" t="str">
        <v>Callao</v>
      </c>
      <c r="C489">
        <v>1</v>
      </c>
      <c r="X489" t="s">
        <v>603</v>
      </c>
      <c r="Y489" t="s">
        <v>418</v>
      </c>
      <c r="Z489">
        <v>1</v>
      </c>
    </row>
    <row r="490" spans="1:26" x14ac:dyDescent="0.25">
      <c r="A490" t="str">
        <v>TARRINAS DESCARTABLES</v>
      </c>
      <c r="B490" t="str">
        <v>Callao</v>
      </c>
      <c r="C490">
        <v>1</v>
      </c>
      <c r="X490" t="s">
        <v>107</v>
      </c>
      <c r="Y490" t="s">
        <v>418</v>
      </c>
      <c r="Z490">
        <v>4</v>
      </c>
    </row>
    <row r="491" spans="1:26" x14ac:dyDescent="0.25">
      <c r="A491" t="str">
        <v>MERMELADA ENVASADA DE FRESA</v>
      </c>
      <c r="B491" t="str">
        <v>Callao</v>
      </c>
      <c r="C491">
        <v>1</v>
      </c>
      <c r="X491" t="s">
        <v>632</v>
      </c>
      <c r="Y491" t="s">
        <v>418</v>
      </c>
      <c r="Z491">
        <v>0</v>
      </c>
    </row>
    <row r="492" spans="1:26" x14ac:dyDescent="0.25">
      <c r="A492" t="str">
        <v>PAPA AMARILLA</v>
      </c>
      <c r="B492" t="str">
        <v>Callao</v>
      </c>
      <c r="C492">
        <v>4</v>
      </c>
      <c r="X492" t="s">
        <v>217</v>
      </c>
      <c r="Y492" t="s">
        <v>418</v>
      </c>
      <c r="Z492">
        <v>20</v>
      </c>
    </row>
    <row r="493" spans="1:26" x14ac:dyDescent="0.25">
      <c r="A493" t="str">
        <v>MARGARINA ENVASADA CON SAL</v>
      </c>
      <c r="B493" t="str">
        <v>Callao</v>
      </c>
      <c r="C493">
        <v>0</v>
      </c>
      <c r="X493" t="s">
        <v>639</v>
      </c>
      <c r="Y493" t="s">
        <v>418</v>
      </c>
      <c r="Z493">
        <v>1</v>
      </c>
    </row>
    <row r="494" spans="1:26" x14ac:dyDescent="0.25">
      <c r="A494" t="str">
        <v>POLLADA SERVIDA</v>
      </c>
      <c r="B494" t="str">
        <v>Callao</v>
      </c>
      <c r="C494">
        <v>20</v>
      </c>
      <c r="X494" t="s">
        <v>640</v>
      </c>
      <c r="Y494" t="s">
        <v>418</v>
      </c>
      <c r="Z494">
        <v>28</v>
      </c>
    </row>
    <row r="495" spans="1:26" x14ac:dyDescent="0.25">
      <c r="A495" t="str">
        <v>HUEVO DE GALLINA ROSADA A GRANEL</v>
      </c>
      <c r="B495" t="str">
        <v>Callao</v>
      </c>
      <c r="C495">
        <v>1</v>
      </c>
      <c r="X495" t="s">
        <v>157</v>
      </c>
      <c r="Y495" t="s">
        <v>418</v>
      </c>
      <c r="Z495">
        <v>10</v>
      </c>
    </row>
    <row r="496" spans="1:26" x14ac:dyDescent="0.25">
      <c r="A496" t="str">
        <v>SECO DE CABRITO</v>
      </c>
      <c r="B496" t="str">
        <v>Callao</v>
      </c>
      <c r="C496">
        <v>28</v>
      </c>
      <c r="X496" t="s">
        <v>28</v>
      </c>
      <c r="Y496" t="s">
        <v>418</v>
      </c>
      <c r="Z496">
        <v>4</v>
      </c>
    </row>
    <row r="497" spans="1:26" x14ac:dyDescent="0.25">
      <c r="A497" t="str">
        <v>CACHEMA FRESCA</v>
      </c>
      <c r="B497" t="str">
        <v>Callao</v>
      </c>
      <c r="C497">
        <v>10</v>
      </c>
      <c r="X497" t="s">
        <v>641</v>
      </c>
      <c r="Y497" t="s">
        <v>418</v>
      </c>
      <c r="Z497">
        <v>0</v>
      </c>
    </row>
    <row r="498" spans="1:26" x14ac:dyDescent="0.25">
      <c r="A498" t="str">
        <v>ACEITE VEGETAL ENVASADO</v>
      </c>
      <c r="B498" t="str">
        <v>Callao</v>
      </c>
      <c r="C498">
        <v>4</v>
      </c>
      <c r="X498" t="s">
        <v>642</v>
      </c>
      <c r="Y498" t="s">
        <v>418</v>
      </c>
      <c r="Z498">
        <v>40</v>
      </c>
    </row>
    <row r="499" spans="1:26" x14ac:dyDescent="0.25">
      <c r="A499" t="str">
        <v>AJOS ENTERO SIN PELAR</v>
      </c>
      <c r="B499" t="str">
        <v>Callao</v>
      </c>
      <c r="C499">
        <v>0</v>
      </c>
      <c r="X499" t="s">
        <v>75</v>
      </c>
      <c r="Y499" t="s">
        <v>418</v>
      </c>
      <c r="Z499">
        <v>6</v>
      </c>
    </row>
    <row r="500" spans="1:26" x14ac:dyDescent="0.25">
      <c r="A500" t="str">
        <v>RON</v>
      </c>
      <c r="B500" t="str">
        <v>Callao</v>
      </c>
      <c r="C500">
        <v>40</v>
      </c>
      <c r="X500" t="s">
        <v>12</v>
      </c>
      <c r="Y500" t="s">
        <v>418</v>
      </c>
      <c r="Z500">
        <v>10</v>
      </c>
    </row>
    <row r="501" spans="1:26" x14ac:dyDescent="0.25">
      <c r="A501" t="str">
        <v>GASEOSA NO RETORNABLE</v>
      </c>
      <c r="B501" t="str">
        <v>Callao</v>
      </c>
      <c r="C501">
        <v>6</v>
      </c>
      <c r="X501" t="s">
        <v>100</v>
      </c>
      <c r="Y501" t="s">
        <v>418</v>
      </c>
      <c r="Z501">
        <v>10</v>
      </c>
    </row>
    <row r="502" spans="1:26" x14ac:dyDescent="0.25">
      <c r="A502" t="str">
        <v>LIMON AGRIO</v>
      </c>
      <c r="B502" t="str">
        <v>Callao</v>
      </c>
      <c r="C502">
        <v>10</v>
      </c>
      <c r="X502" t="s">
        <v>238</v>
      </c>
      <c r="Y502" t="s">
        <v>418</v>
      </c>
      <c r="Z502">
        <v>3</v>
      </c>
    </row>
    <row r="503" spans="1:26" x14ac:dyDescent="0.25">
      <c r="A503" t="str">
        <v>CARNE DE RES SIN HUESO</v>
      </c>
      <c r="B503" t="str">
        <v>Callao</v>
      </c>
      <c r="C503">
        <v>10</v>
      </c>
      <c r="X503" t="s">
        <v>9</v>
      </c>
      <c r="Y503" t="s">
        <v>418</v>
      </c>
      <c r="Z503">
        <v>0</v>
      </c>
    </row>
    <row r="504" spans="1:26" x14ac:dyDescent="0.25">
      <c r="A504" t="str">
        <v>SANCOCHADO DE RES</v>
      </c>
      <c r="B504" t="str">
        <v>Callao</v>
      </c>
      <c r="C504">
        <v>3</v>
      </c>
      <c r="X504" t="s">
        <v>643</v>
      </c>
      <c r="Y504" t="s">
        <v>418</v>
      </c>
      <c r="Z504">
        <v>1</v>
      </c>
    </row>
    <row r="505" spans="1:26" x14ac:dyDescent="0.25">
      <c r="A505" t="str">
        <v>YUCA BLANCA</v>
      </c>
      <c r="B505" t="str">
        <v>Callao</v>
      </c>
      <c r="C505">
        <v>0</v>
      </c>
      <c r="X505" t="s">
        <v>644</v>
      </c>
      <c r="Y505" t="s">
        <v>418</v>
      </c>
      <c r="Z505">
        <v>1</v>
      </c>
    </row>
    <row r="506" spans="1:26" x14ac:dyDescent="0.25">
      <c r="A506" t="str">
        <v>VERDURA ENTERA</v>
      </c>
      <c r="B506" t="str">
        <v>Callao</v>
      </c>
      <c r="C506">
        <v>1</v>
      </c>
      <c r="X506" t="s">
        <v>645</v>
      </c>
      <c r="Y506" t="s">
        <v>418</v>
      </c>
      <c r="Z506">
        <v>4</v>
      </c>
    </row>
    <row r="507" spans="1:26" x14ac:dyDescent="0.25">
      <c r="A507" t="str">
        <v>PI A HAWAIANA</v>
      </c>
      <c r="B507" t="str">
        <v>Callao</v>
      </c>
      <c r="C507">
        <v>1</v>
      </c>
      <c r="X507" t="s">
        <v>646</v>
      </c>
      <c r="Y507" t="s">
        <v>418</v>
      </c>
      <c r="Z507">
        <v>2</v>
      </c>
    </row>
    <row r="508" spans="1:26" x14ac:dyDescent="0.25">
      <c r="A508" t="str">
        <v>TAMAL VERDE DE POLLO SERVIDO</v>
      </c>
      <c r="B508" t="str">
        <v>Callao</v>
      </c>
      <c r="C508">
        <v>4</v>
      </c>
      <c r="X508" t="s">
        <v>647</v>
      </c>
      <c r="Y508" t="s">
        <v>418</v>
      </c>
      <c r="Z508">
        <v>1</v>
      </c>
    </row>
    <row r="509" spans="1:26" x14ac:dyDescent="0.25">
      <c r="A509" t="str">
        <v>PAPA MOLINERA</v>
      </c>
      <c r="B509" t="str">
        <v>Callao</v>
      </c>
      <c r="C509">
        <v>2</v>
      </c>
      <c r="X509" t="s">
        <v>210</v>
      </c>
      <c r="Y509" t="s">
        <v>418</v>
      </c>
      <c r="Z509">
        <v>10</v>
      </c>
    </row>
    <row r="510" spans="1:26" x14ac:dyDescent="0.25">
      <c r="A510" t="str">
        <v>CHOCLO CRIOLLO</v>
      </c>
      <c r="B510" t="str">
        <v>Callao</v>
      </c>
      <c r="C510">
        <v>1</v>
      </c>
      <c r="X510" t="s">
        <v>648</v>
      </c>
      <c r="Y510" t="s">
        <v>418</v>
      </c>
      <c r="Z510">
        <v>10</v>
      </c>
    </row>
    <row r="511" spans="1:26" x14ac:dyDescent="0.25">
      <c r="A511" t="str">
        <v>TOLLO FRESCO</v>
      </c>
      <c r="B511" t="str">
        <v>Callao</v>
      </c>
      <c r="C511">
        <v>10</v>
      </c>
      <c r="X511" t="s">
        <v>649</v>
      </c>
      <c r="Y511" t="s">
        <v>418</v>
      </c>
      <c r="Z511">
        <v>1</v>
      </c>
    </row>
    <row r="512" spans="1:26" x14ac:dyDescent="0.25">
      <c r="A512" t="str">
        <v>AGUJA FRESCO</v>
      </c>
      <c r="B512" t="str">
        <v>Callao</v>
      </c>
      <c r="C512">
        <v>10</v>
      </c>
      <c r="X512" t="s">
        <v>647</v>
      </c>
      <c r="Y512" t="s">
        <v>418</v>
      </c>
      <c r="Z512">
        <v>2</v>
      </c>
    </row>
    <row r="513" spans="1:26" x14ac:dyDescent="0.25">
      <c r="A513" t="str">
        <v>LOMON AGRIO</v>
      </c>
      <c r="B513" t="str">
        <v>Callao</v>
      </c>
      <c r="C513">
        <v>1</v>
      </c>
      <c r="X513" t="s">
        <v>643</v>
      </c>
      <c r="Y513" t="s">
        <v>418</v>
      </c>
      <c r="Z513">
        <v>2</v>
      </c>
    </row>
    <row r="514" spans="1:26" x14ac:dyDescent="0.25">
      <c r="A514" t="str">
        <v>CHOCLO CRIOLLO</v>
      </c>
      <c r="B514" t="str">
        <v>Callao</v>
      </c>
      <c r="C514">
        <v>2</v>
      </c>
      <c r="X514" t="s">
        <v>650</v>
      </c>
      <c r="Y514" t="s">
        <v>418</v>
      </c>
      <c r="Z514">
        <v>10</v>
      </c>
    </row>
    <row r="515" spans="1:26" x14ac:dyDescent="0.25">
      <c r="A515" t="str">
        <v>VERDURA ENTERA</v>
      </c>
      <c r="B515" t="str">
        <v>Callao</v>
      </c>
      <c r="C515">
        <v>2</v>
      </c>
      <c r="X515" t="s">
        <v>651</v>
      </c>
      <c r="Y515" t="s">
        <v>418</v>
      </c>
      <c r="Z515">
        <v>9</v>
      </c>
    </row>
    <row r="516" spans="1:26" x14ac:dyDescent="0.25">
      <c r="A516" t="str">
        <v>CONSULTA MEDICA GENERAL</v>
      </c>
      <c r="B516" t="str">
        <v>Callao</v>
      </c>
      <c r="C516">
        <v>10</v>
      </c>
      <c r="X516" t="s">
        <v>86</v>
      </c>
      <c r="Y516" t="s">
        <v>418</v>
      </c>
      <c r="Z516">
        <v>8</v>
      </c>
    </row>
    <row r="517" spans="1:26" x14ac:dyDescent="0.25">
      <c r="A517" t="str">
        <v>SOLUCION ORAL</v>
      </c>
      <c r="B517" t="str">
        <v>Callao</v>
      </c>
      <c r="C517">
        <v>9</v>
      </c>
      <c r="X517" t="s">
        <v>627</v>
      </c>
      <c r="Y517" t="s">
        <v>418</v>
      </c>
      <c r="Z517">
        <v>20</v>
      </c>
    </row>
    <row r="518" spans="1:26" x14ac:dyDescent="0.25">
      <c r="A518" t="str">
        <v>MANZANA CHILENA</v>
      </c>
      <c r="B518" t="str">
        <v>Callao</v>
      </c>
      <c r="C518">
        <v>8</v>
      </c>
      <c r="X518" t="s">
        <v>95</v>
      </c>
      <c r="Y518" t="s">
        <v>418</v>
      </c>
      <c r="Z518">
        <v>3</v>
      </c>
    </row>
    <row r="519" spans="1:26" x14ac:dyDescent="0.25">
      <c r="A519" t="str">
        <v>CAMARONES FRESCOS A GRANEL</v>
      </c>
      <c r="B519" t="str">
        <v>Callao</v>
      </c>
      <c r="C519">
        <v>20</v>
      </c>
      <c r="X519" t="s">
        <v>122</v>
      </c>
      <c r="Y519" t="s">
        <v>418</v>
      </c>
      <c r="Z519">
        <v>9</v>
      </c>
    </row>
    <row r="520" spans="1:26" x14ac:dyDescent="0.25">
      <c r="A520" t="str">
        <v>PLATANO MADURO</v>
      </c>
      <c r="B520" t="str">
        <v>Callao</v>
      </c>
      <c r="C520">
        <v>3</v>
      </c>
      <c r="X520" t="s">
        <v>652</v>
      </c>
      <c r="Y520" t="s">
        <v>418</v>
      </c>
      <c r="Z520">
        <v>3</v>
      </c>
    </row>
    <row r="521" spans="1:26" x14ac:dyDescent="0.25">
      <c r="A521" t="str">
        <v>CENA MENU</v>
      </c>
      <c r="B521" t="str">
        <v>Callao</v>
      </c>
      <c r="C521">
        <v>9</v>
      </c>
      <c r="X521" t="s">
        <v>653</v>
      </c>
      <c r="Y521" t="s">
        <v>418</v>
      </c>
      <c r="Z521">
        <v>2</v>
      </c>
    </row>
    <row r="522" spans="1:26" x14ac:dyDescent="0.25">
      <c r="A522" t="str">
        <v>ARVERJA VERDE PARTIDA</v>
      </c>
      <c r="B522" t="str">
        <v>Callao</v>
      </c>
      <c r="C522">
        <v>3</v>
      </c>
      <c r="X522" t="s">
        <v>654</v>
      </c>
      <c r="Y522" t="s">
        <v>418</v>
      </c>
      <c r="Z522">
        <v>0</v>
      </c>
    </row>
    <row r="523" spans="1:26" x14ac:dyDescent="0.25">
      <c r="A523" t="str">
        <v>CEBADA SERVIDA</v>
      </c>
      <c r="B523" t="str">
        <v>Callao</v>
      </c>
      <c r="C523">
        <v>2</v>
      </c>
      <c r="X523" t="s">
        <v>66</v>
      </c>
      <c r="Y523" t="s">
        <v>418</v>
      </c>
      <c r="Z523">
        <v>1</v>
      </c>
    </row>
    <row r="524" spans="1:26" x14ac:dyDescent="0.25">
      <c r="A524" t="str">
        <v>ZAPALLO MAGRE</v>
      </c>
      <c r="B524" t="str">
        <v>Callao</v>
      </c>
      <c r="C524">
        <v>0</v>
      </c>
      <c r="X524" t="s">
        <v>629</v>
      </c>
      <c r="Y524" t="s">
        <v>418</v>
      </c>
      <c r="Z524">
        <v>4</v>
      </c>
    </row>
    <row r="525" spans="1:26" x14ac:dyDescent="0.25">
      <c r="A525" t="str">
        <v>FIDEO TALLARIN ENVASADO</v>
      </c>
      <c r="B525" t="str">
        <v>Callao</v>
      </c>
      <c r="C525">
        <v>1</v>
      </c>
      <c r="X525" t="s">
        <v>60</v>
      </c>
      <c r="Y525" t="s">
        <v>418</v>
      </c>
      <c r="Z525">
        <v>2</v>
      </c>
    </row>
    <row r="526" spans="1:26" x14ac:dyDescent="0.25">
      <c r="A526" t="str">
        <v>PASAJE EN AUTO</v>
      </c>
      <c r="B526" t="str">
        <v>Callao</v>
      </c>
      <c r="C526">
        <v>4</v>
      </c>
      <c r="X526" t="s">
        <v>655</v>
      </c>
      <c r="Y526" t="s">
        <v>418</v>
      </c>
      <c r="Z526">
        <v>8</v>
      </c>
    </row>
    <row r="527" spans="1:26" x14ac:dyDescent="0.25">
      <c r="A527" t="str">
        <v>POLLO EVISCERADO</v>
      </c>
      <c r="B527" t="str">
        <v>Callao</v>
      </c>
      <c r="C527">
        <v>2</v>
      </c>
      <c r="X527" t="s">
        <v>618</v>
      </c>
      <c r="Y527" t="s">
        <v>418</v>
      </c>
      <c r="Z527">
        <v>4</v>
      </c>
    </row>
    <row r="528" spans="1:26" x14ac:dyDescent="0.25">
      <c r="A528" t="str">
        <v>JUREL FRESCO</v>
      </c>
      <c r="B528" t="str">
        <v>Callao</v>
      </c>
      <c r="C528">
        <v>8</v>
      </c>
      <c r="X528" t="s">
        <v>655</v>
      </c>
      <c r="Y528" t="s">
        <v>418</v>
      </c>
      <c r="Z528">
        <v>4</v>
      </c>
    </row>
    <row r="529" spans="1:26" x14ac:dyDescent="0.25">
      <c r="A529" t="str">
        <v>MANZANA ISRAEL</v>
      </c>
      <c r="B529" t="str">
        <v>Callao</v>
      </c>
      <c r="C529">
        <v>4</v>
      </c>
      <c r="X529" t="s">
        <v>656</v>
      </c>
      <c r="Y529" t="s">
        <v>418</v>
      </c>
      <c r="Z529">
        <v>1</v>
      </c>
    </row>
    <row r="530" spans="1:26" x14ac:dyDescent="0.25">
      <c r="A530" t="str">
        <v>JUREL FRESCO</v>
      </c>
      <c r="B530" t="str">
        <v>Callao</v>
      </c>
      <c r="C530">
        <v>4</v>
      </c>
      <c r="X530" t="s">
        <v>657</v>
      </c>
      <c r="Y530" t="s">
        <v>418</v>
      </c>
      <c r="Z530">
        <v>1</v>
      </c>
    </row>
    <row r="531" spans="1:26" x14ac:dyDescent="0.25">
      <c r="A531" t="str">
        <v>PASTILLA PARA EL DOLOR DE CABEZA</v>
      </c>
      <c r="B531" t="str">
        <v>Callao</v>
      </c>
      <c r="C531">
        <v>1</v>
      </c>
      <c r="X531" t="s">
        <v>658</v>
      </c>
      <c r="Y531" t="s">
        <v>418</v>
      </c>
      <c r="Z531">
        <v>1</v>
      </c>
    </row>
    <row r="532" spans="1:26" x14ac:dyDescent="0.25">
      <c r="A532" t="str">
        <v>MAQUINA DE AFEITAR DESECHABLE</v>
      </c>
      <c r="B532" t="str">
        <v>Callao</v>
      </c>
      <c r="C532">
        <v>1</v>
      </c>
      <c r="X532" t="s">
        <v>659</v>
      </c>
      <c r="Y532" t="s">
        <v>418</v>
      </c>
      <c r="Z532">
        <v>5</v>
      </c>
    </row>
    <row r="533" spans="1:26" x14ac:dyDescent="0.25">
      <c r="A533" t="str">
        <v>DESODORANTE PARA HOMBRE</v>
      </c>
      <c r="B533" t="str">
        <v>Callao</v>
      </c>
      <c r="C533">
        <v>1</v>
      </c>
      <c r="X533" t="s">
        <v>77</v>
      </c>
      <c r="Y533" t="s">
        <v>418</v>
      </c>
      <c r="Z533">
        <v>5</v>
      </c>
    </row>
    <row r="534" spans="1:26" x14ac:dyDescent="0.25">
      <c r="A534" t="str">
        <v>TINTE PARA CABELLO</v>
      </c>
      <c r="B534" t="str">
        <v>Callao</v>
      </c>
      <c r="C534">
        <v>5</v>
      </c>
      <c r="X534" t="s">
        <v>660</v>
      </c>
      <c r="Y534" t="s">
        <v>418</v>
      </c>
      <c r="Z534">
        <v>1</v>
      </c>
    </row>
    <row r="535" spans="1:26" x14ac:dyDescent="0.25">
      <c r="A535" t="str">
        <v>RECARGA VIRTUAL DE CELULAR</v>
      </c>
      <c r="B535" t="str">
        <v>Callao</v>
      </c>
      <c r="C535">
        <v>5</v>
      </c>
      <c r="X535" t="s">
        <v>661</v>
      </c>
      <c r="Y535" t="s">
        <v>418</v>
      </c>
      <c r="Z535">
        <v>0</v>
      </c>
    </row>
    <row r="536" spans="1:26" x14ac:dyDescent="0.25">
      <c r="A536" t="str">
        <v>HOT DOG A GRANEL</v>
      </c>
      <c r="B536" t="str">
        <v>Callao</v>
      </c>
      <c r="C536">
        <v>1</v>
      </c>
      <c r="X536" t="s">
        <v>662</v>
      </c>
      <c r="Y536" t="s">
        <v>418</v>
      </c>
      <c r="Z536">
        <v>1</v>
      </c>
    </row>
    <row r="537" spans="1:26" x14ac:dyDescent="0.25">
      <c r="A537" t="str">
        <v>FIDEO TALLARIN A GRANEL</v>
      </c>
      <c r="B537" t="str">
        <v>Callao</v>
      </c>
      <c r="C537">
        <v>0</v>
      </c>
      <c r="X537" t="s">
        <v>663</v>
      </c>
      <c r="Y537" t="s">
        <v>418</v>
      </c>
      <c r="Z537">
        <v>2</v>
      </c>
    </row>
    <row r="538" spans="1:26" x14ac:dyDescent="0.25">
      <c r="A538" t="str">
        <v>PA AL DESECHABLE PARA BEBE</v>
      </c>
      <c r="B538" t="str">
        <v>Callao</v>
      </c>
      <c r="C538">
        <v>1</v>
      </c>
      <c r="X538" t="s">
        <v>208</v>
      </c>
      <c r="Y538" t="s">
        <v>418</v>
      </c>
      <c r="Z538">
        <v>0</v>
      </c>
    </row>
    <row r="539" spans="1:26" x14ac:dyDescent="0.25">
      <c r="A539" t="str">
        <v>PASTILLA PARA LA GRIPE</v>
      </c>
      <c r="B539" t="str">
        <v>Callao</v>
      </c>
      <c r="C539">
        <v>2</v>
      </c>
      <c r="X539" t="s">
        <v>239</v>
      </c>
      <c r="Y539" t="s">
        <v>418</v>
      </c>
      <c r="Z539">
        <v>3</v>
      </c>
    </row>
    <row r="540" spans="1:26" x14ac:dyDescent="0.25">
      <c r="A540" t="str">
        <v>BETARRAGA</v>
      </c>
      <c r="B540" t="str">
        <v>Callao</v>
      </c>
      <c r="C540">
        <v>0</v>
      </c>
      <c r="X540" t="s">
        <v>664</v>
      </c>
      <c r="Y540" t="s">
        <v>418</v>
      </c>
      <c r="Z540">
        <v>16</v>
      </c>
    </row>
    <row r="541" spans="1:26" x14ac:dyDescent="0.25">
      <c r="A541" t="str">
        <v>MAIZ MORADO</v>
      </c>
      <c r="B541" t="str">
        <v>Callao</v>
      </c>
      <c r="C541">
        <v>3</v>
      </c>
      <c r="X541" t="s">
        <v>665</v>
      </c>
      <c r="Y541" t="s">
        <v>418</v>
      </c>
      <c r="Z541">
        <v>0</v>
      </c>
    </row>
    <row r="542" spans="1:26" x14ac:dyDescent="0.25">
      <c r="A542" t="str">
        <v>JARABE PARA LA TOS</v>
      </c>
      <c r="B542" t="str">
        <v>Callao</v>
      </c>
      <c r="C542">
        <v>16</v>
      </c>
      <c r="X542" t="s">
        <v>224</v>
      </c>
      <c r="Y542" t="s">
        <v>418</v>
      </c>
      <c r="Z542">
        <v>4</v>
      </c>
    </row>
    <row r="543" spans="1:26" x14ac:dyDescent="0.25">
      <c r="A543" t="str">
        <v>INCIENSO ANTIMOSQUITO</v>
      </c>
      <c r="B543" t="str">
        <v>Callao</v>
      </c>
      <c r="C543">
        <v>0</v>
      </c>
      <c r="X543" t="s">
        <v>75</v>
      </c>
      <c r="Y543" t="s">
        <v>418</v>
      </c>
      <c r="Z543">
        <v>2</v>
      </c>
    </row>
    <row r="544" spans="1:26" x14ac:dyDescent="0.25">
      <c r="A544" t="str">
        <v>MENU DE DESAYUNO</v>
      </c>
      <c r="B544" t="str">
        <v>Callao</v>
      </c>
      <c r="C544">
        <v>4</v>
      </c>
      <c r="X544" t="s">
        <v>666</v>
      </c>
      <c r="Y544" t="s">
        <v>418</v>
      </c>
      <c r="Z544">
        <v>8</v>
      </c>
    </row>
    <row r="545" spans="1:26" x14ac:dyDescent="0.25">
      <c r="A545" t="str">
        <v>GASEOSA NO RETORNABLE</v>
      </c>
      <c r="B545" t="str">
        <v>Callao</v>
      </c>
      <c r="C545">
        <v>2</v>
      </c>
      <c r="X545" t="s">
        <v>667</v>
      </c>
      <c r="Y545" t="s">
        <v>418</v>
      </c>
      <c r="Z545">
        <v>0</v>
      </c>
    </row>
    <row r="546" spans="1:26" x14ac:dyDescent="0.25">
      <c r="A546" t="str">
        <v>BAGRE FRESCO</v>
      </c>
      <c r="B546" t="str">
        <v>Callao</v>
      </c>
      <c r="C546">
        <v>8</v>
      </c>
      <c r="X546" t="s">
        <v>60</v>
      </c>
      <c r="Y546" t="s">
        <v>418</v>
      </c>
      <c r="Z546">
        <v>9</v>
      </c>
    </row>
    <row r="547" spans="1:26" x14ac:dyDescent="0.25">
      <c r="A547" t="str">
        <v>CHICHA DE JORA SERVIDO</v>
      </c>
      <c r="B547" t="str">
        <v>Callao</v>
      </c>
      <c r="C547">
        <v>0</v>
      </c>
      <c r="X547" t="s">
        <v>71</v>
      </c>
      <c r="Y547" t="s">
        <v>418</v>
      </c>
      <c r="Z547">
        <v>6</v>
      </c>
    </row>
    <row r="548" spans="1:26" x14ac:dyDescent="0.25">
      <c r="A548" t="str">
        <v>POLLO EVISCERADO</v>
      </c>
      <c r="B548" t="str">
        <v>Callao</v>
      </c>
      <c r="C548">
        <v>9</v>
      </c>
      <c r="X548" t="s">
        <v>221</v>
      </c>
      <c r="Y548" t="s">
        <v>418</v>
      </c>
      <c r="Z548">
        <v>5</v>
      </c>
    </row>
    <row r="549" spans="1:26" x14ac:dyDescent="0.25">
      <c r="A549" t="str">
        <v>PASAJE EN MOTOTAXI</v>
      </c>
      <c r="B549" t="str">
        <v>Callao</v>
      </c>
      <c r="C549">
        <v>6</v>
      </c>
      <c r="X549" t="s">
        <v>645</v>
      </c>
      <c r="Y549" t="s">
        <v>418</v>
      </c>
      <c r="Z549">
        <v>2</v>
      </c>
    </row>
    <row r="550" spans="1:26" x14ac:dyDescent="0.25">
      <c r="A550" t="str">
        <v>JUGO DE FRUTAS LICUADO SERVIDO</v>
      </c>
      <c r="B550" t="str">
        <v>Callao</v>
      </c>
      <c r="C550">
        <v>5</v>
      </c>
      <c r="X550" t="s">
        <v>668</v>
      </c>
      <c r="Y550" t="s">
        <v>418</v>
      </c>
      <c r="Z550">
        <v>1</v>
      </c>
    </row>
    <row r="551" spans="1:26" x14ac:dyDescent="0.25">
      <c r="A551" t="str">
        <v>TAMAL VERDE DE POLLO SERVIDO</v>
      </c>
      <c r="B551" t="str">
        <v>Callao</v>
      </c>
      <c r="C551">
        <v>2</v>
      </c>
      <c r="X551" t="s">
        <v>17</v>
      </c>
      <c r="Y551" t="s">
        <v>418</v>
      </c>
      <c r="Z551">
        <v>4</v>
      </c>
    </row>
    <row r="552" spans="1:26" x14ac:dyDescent="0.25">
      <c r="A552" t="str">
        <v>PLATANO FRITO A GRANEL</v>
      </c>
      <c r="B552" t="str">
        <v>Callao</v>
      </c>
      <c r="C552">
        <v>1</v>
      </c>
      <c r="X552" t="s">
        <v>10</v>
      </c>
      <c r="Y552" t="s">
        <v>418</v>
      </c>
      <c r="Z552">
        <v>4</v>
      </c>
    </row>
    <row r="553" spans="1:26" x14ac:dyDescent="0.25">
      <c r="A553" t="str">
        <v>UVA NEGRA</v>
      </c>
      <c r="B553" t="str">
        <v>Callao</v>
      </c>
      <c r="C553">
        <v>4</v>
      </c>
      <c r="X553" t="s">
        <v>640</v>
      </c>
      <c r="Y553" t="s">
        <v>418</v>
      </c>
      <c r="Z553">
        <v>18</v>
      </c>
    </row>
    <row r="554" spans="1:26" x14ac:dyDescent="0.25">
      <c r="A554" t="str">
        <v>PAPAYA COMUN</v>
      </c>
      <c r="B554" t="str">
        <v>Callao</v>
      </c>
      <c r="C554">
        <v>4</v>
      </c>
      <c r="X554" t="s">
        <v>656</v>
      </c>
      <c r="Y554" t="s">
        <v>418</v>
      </c>
      <c r="Z554">
        <v>6</v>
      </c>
    </row>
    <row r="555" spans="1:26" x14ac:dyDescent="0.25">
      <c r="A555" t="str">
        <v>SECO DE CABRITO</v>
      </c>
      <c r="B555" t="str">
        <v>Callao</v>
      </c>
      <c r="C555">
        <v>18</v>
      </c>
      <c r="X555" t="s">
        <v>663</v>
      </c>
      <c r="Y555" t="s">
        <v>418</v>
      </c>
      <c r="Z555">
        <v>4</v>
      </c>
    </row>
    <row r="556" spans="1:26" x14ac:dyDescent="0.25">
      <c r="A556" t="str">
        <v>PASTILLA PARA EL DOLOR DE CABEZA</v>
      </c>
      <c r="B556" t="str">
        <v>Callao</v>
      </c>
      <c r="C556">
        <v>6</v>
      </c>
      <c r="X556" t="s">
        <v>71</v>
      </c>
      <c r="Y556" t="s">
        <v>418</v>
      </c>
      <c r="Z556">
        <v>8</v>
      </c>
    </row>
    <row r="557" spans="1:26" x14ac:dyDescent="0.25">
      <c r="A557" t="str">
        <v>PASTILLA PARA LA GRIPE</v>
      </c>
      <c r="B557" t="str">
        <v>Callao</v>
      </c>
      <c r="C557">
        <v>4</v>
      </c>
      <c r="X557" t="s">
        <v>645</v>
      </c>
      <c r="Y557" t="s">
        <v>418</v>
      </c>
      <c r="Z557">
        <v>5</v>
      </c>
    </row>
    <row r="558" spans="1:26" x14ac:dyDescent="0.25">
      <c r="A558" t="str">
        <v>PASAJE EN MOTOTAXI</v>
      </c>
      <c r="B558" t="str">
        <v>Callao</v>
      </c>
      <c r="C558">
        <v>8</v>
      </c>
      <c r="X558" t="s">
        <v>156</v>
      </c>
      <c r="Y558" t="s">
        <v>418</v>
      </c>
      <c r="Z558">
        <v>3</v>
      </c>
    </row>
    <row r="559" spans="1:26" x14ac:dyDescent="0.25">
      <c r="A559" t="str">
        <v>TAMAL VERDE DE POLLO SERVIDO</v>
      </c>
      <c r="B559" t="str">
        <v>Callao</v>
      </c>
      <c r="C559">
        <v>5</v>
      </c>
      <c r="X559" t="s">
        <v>669</v>
      </c>
      <c r="Y559" t="s">
        <v>418</v>
      </c>
      <c r="Z559">
        <v>15</v>
      </c>
    </row>
    <row r="560" spans="1:26" x14ac:dyDescent="0.25">
      <c r="A560" t="str">
        <v>ACEITUNA NEGRA A GRANEL</v>
      </c>
      <c r="B560" t="str">
        <v>Callao</v>
      </c>
      <c r="C560">
        <v>3</v>
      </c>
      <c r="X560" t="s">
        <v>670</v>
      </c>
      <c r="Y560" t="s">
        <v>418</v>
      </c>
      <c r="Z560">
        <v>20</v>
      </c>
    </row>
    <row r="561" spans="1:26" x14ac:dyDescent="0.25">
      <c r="A561" t="str">
        <v>CHAMPU EN FRASCO MASCOTA</v>
      </c>
      <c r="B561" t="str">
        <v>Callao</v>
      </c>
      <c r="C561">
        <v>15</v>
      </c>
      <c r="X561" t="s">
        <v>671</v>
      </c>
      <c r="Y561" t="s">
        <v>418</v>
      </c>
      <c r="Z561">
        <v>1</v>
      </c>
    </row>
    <row r="562" spans="1:26" x14ac:dyDescent="0.25">
      <c r="A562" t="str">
        <v>CORTE DE CABELLO PARA MUJER</v>
      </c>
      <c r="B562" t="str">
        <v>Callao</v>
      </c>
      <c r="C562">
        <v>20</v>
      </c>
      <c r="X562" t="s">
        <v>223</v>
      </c>
      <c r="Y562" t="s">
        <v>418</v>
      </c>
      <c r="Z562">
        <v>3</v>
      </c>
    </row>
    <row r="563" spans="1:26" x14ac:dyDescent="0.25">
      <c r="A563" t="str">
        <v>AVENA SERVIDA</v>
      </c>
      <c r="B563" t="str">
        <v>Callao</v>
      </c>
      <c r="C563">
        <v>1</v>
      </c>
      <c r="X563" t="s">
        <v>223</v>
      </c>
      <c r="Y563" t="s">
        <v>418</v>
      </c>
      <c r="Z563">
        <v>4</v>
      </c>
    </row>
    <row r="564" spans="1:26" x14ac:dyDescent="0.25">
      <c r="A564" t="str">
        <v>PASAJE AUTO</v>
      </c>
      <c r="B564" t="str">
        <v>Callao</v>
      </c>
      <c r="C564">
        <v>3</v>
      </c>
      <c r="X564" t="s">
        <v>604</v>
      </c>
      <c r="Y564" t="s">
        <v>418</v>
      </c>
      <c r="Z564">
        <v>10</v>
      </c>
    </row>
    <row r="565" spans="1:26" x14ac:dyDescent="0.25">
      <c r="A565" t="str">
        <v>PASAJE AUTO</v>
      </c>
      <c r="B565" t="str">
        <v>Callao</v>
      </c>
      <c r="C565">
        <v>4</v>
      </c>
      <c r="X565" t="s">
        <v>672</v>
      </c>
      <c r="Y565" t="s">
        <v>418</v>
      </c>
      <c r="Z565">
        <v>0</v>
      </c>
    </row>
    <row r="566" spans="1:26" x14ac:dyDescent="0.25">
      <c r="A566" t="str">
        <v>SALCHIPOLLO</v>
      </c>
      <c r="B566" t="str">
        <v>Callao</v>
      </c>
      <c r="C566">
        <v>10</v>
      </c>
      <c r="X566" t="s">
        <v>673</v>
      </c>
      <c r="Y566" t="s">
        <v>418</v>
      </c>
      <c r="Z566">
        <v>5</v>
      </c>
    </row>
    <row r="567" spans="1:26" x14ac:dyDescent="0.25">
      <c r="A567" t="str">
        <v>ZANAHORIA</v>
      </c>
      <c r="B567" t="str">
        <v>Callao</v>
      </c>
      <c r="C567">
        <v>0</v>
      </c>
      <c r="X567" t="s">
        <v>224</v>
      </c>
      <c r="Y567" t="s">
        <v>418</v>
      </c>
      <c r="Z567">
        <v>6</v>
      </c>
    </row>
    <row r="568" spans="1:26" x14ac:dyDescent="0.25">
      <c r="A568" t="str">
        <v>CLASE DE GYMNASIO</v>
      </c>
      <c r="B568" t="str">
        <v>Callao</v>
      </c>
      <c r="C568">
        <v>5</v>
      </c>
      <c r="X568" t="s">
        <v>212</v>
      </c>
      <c r="Y568" t="s">
        <v>418</v>
      </c>
      <c r="Z568">
        <v>2</v>
      </c>
    </row>
    <row r="569" spans="1:26" x14ac:dyDescent="0.25">
      <c r="A569" t="str">
        <v>MENU DE DESAYUNO</v>
      </c>
      <c r="B569" t="str">
        <v>Callao</v>
      </c>
      <c r="C569">
        <v>6</v>
      </c>
      <c r="X569" t="s">
        <v>674</v>
      </c>
      <c r="Y569" t="s">
        <v>418</v>
      </c>
      <c r="Z569">
        <v>100</v>
      </c>
    </row>
    <row r="570" spans="1:26" x14ac:dyDescent="0.25">
      <c r="A570" t="str">
        <v>AGUA DE CEBADA SERVIDO</v>
      </c>
      <c r="B570" t="str">
        <v>Callao</v>
      </c>
      <c r="C570">
        <v>2</v>
      </c>
      <c r="X570" t="s">
        <v>45</v>
      </c>
      <c r="Y570" t="s">
        <v>418</v>
      </c>
      <c r="Z570">
        <v>30</v>
      </c>
    </row>
    <row r="571" spans="1:26" x14ac:dyDescent="0.25">
      <c r="A571" t="str">
        <v>PARRILLADA</v>
      </c>
      <c r="B571" t="str">
        <v>Callao</v>
      </c>
      <c r="C571">
        <v>100</v>
      </c>
      <c r="X571" t="s">
        <v>171</v>
      </c>
      <c r="Y571" t="s">
        <v>418</v>
      </c>
      <c r="Z571">
        <v>10</v>
      </c>
    </row>
    <row r="572" spans="1:26" x14ac:dyDescent="0.25">
      <c r="A572" t="str">
        <v>CHICHA MORADA SERVIDA</v>
      </c>
      <c r="B572" t="str">
        <v>Callao</v>
      </c>
      <c r="C572">
        <v>30</v>
      </c>
      <c r="X572" t="s">
        <v>675</v>
      </c>
      <c r="Y572" t="s">
        <v>418</v>
      </c>
      <c r="Z572">
        <v>12</v>
      </c>
    </row>
    <row r="573" spans="1:26" x14ac:dyDescent="0.25">
      <c r="A573" t="str">
        <v>PASAJE EN MOTOKAR</v>
      </c>
      <c r="B573" t="str">
        <v>Callao</v>
      </c>
      <c r="C573">
        <v>10</v>
      </c>
      <c r="X573" t="s">
        <v>676</v>
      </c>
      <c r="Y573" t="s">
        <v>418</v>
      </c>
      <c r="Z573">
        <v>6</v>
      </c>
    </row>
    <row r="574" spans="1:26" x14ac:dyDescent="0.25">
      <c r="A574" t="str">
        <v>QUESO SUIZO</v>
      </c>
      <c r="B574" t="str">
        <v>Callao</v>
      </c>
      <c r="C574">
        <v>12</v>
      </c>
      <c r="X574" t="s">
        <v>677</v>
      </c>
      <c r="Y574" t="s">
        <v>418</v>
      </c>
      <c r="Z574">
        <v>8</v>
      </c>
    </row>
    <row r="575" spans="1:26" x14ac:dyDescent="0.25">
      <c r="A575" t="str">
        <v>HUEVO DE GALLINA ROSADO ENVASADO</v>
      </c>
      <c r="B575" t="str">
        <v>Callao</v>
      </c>
      <c r="C575">
        <v>6</v>
      </c>
      <c r="X575" t="s">
        <v>678</v>
      </c>
      <c r="Y575" t="s">
        <v>418</v>
      </c>
      <c r="Z575">
        <v>4</v>
      </c>
    </row>
    <row r="576" spans="1:26" x14ac:dyDescent="0.25">
      <c r="A576" t="str">
        <v>ACEITUNA VERDE</v>
      </c>
      <c r="B576" t="str">
        <v>Callao</v>
      </c>
      <c r="C576">
        <v>8</v>
      </c>
      <c r="X576" t="s">
        <v>679</v>
      </c>
      <c r="Y576" t="s">
        <v>418</v>
      </c>
      <c r="Z576">
        <v>3</v>
      </c>
    </row>
    <row r="577" spans="1:26" x14ac:dyDescent="0.25">
      <c r="A577" t="str">
        <v>LECHE ENVASADA</v>
      </c>
      <c r="B577" t="str">
        <v>Callao</v>
      </c>
      <c r="C577">
        <v>4</v>
      </c>
      <c r="X577" t="s">
        <v>680</v>
      </c>
      <c r="Y577" t="s">
        <v>418</v>
      </c>
      <c r="Z577">
        <v>25</v>
      </c>
    </row>
    <row r="578" spans="1:26" x14ac:dyDescent="0.25">
      <c r="A578" t="str">
        <v>ARROZ CORRIENTE O COMUN</v>
      </c>
      <c r="B578" t="str">
        <v>Callao</v>
      </c>
      <c r="C578">
        <v>3</v>
      </c>
      <c r="X578" t="s">
        <v>180</v>
      </c>
      <c r="Y578" t="s">
        <v>418</v>
      </c>
      <c r="Z578">
        <v>10</v>
      </c>
    </row>
    <row r="579" spans="1:26" x14ac:dyDescent="0.25">
      <c r="A579" t="str">
        <v>CONGRIO FRESCO</v>
      </c>
      <c r="B579" t="str">
        <v>Callao</v>
      </c>
      <c r="C579">
        <v>25</v>
      </c>
      <c r="X579" t="s">
        <v>119</v>
      </c>
      <c r="Y579" t="s">
        <v>418</v>
      </c>
      <c r="Z579">
        <v>13</v>
      </c>
    </row>
    <row r="580" spans="1:26" x14ac:dyDescent="0.25">
      <c r="A580" t="str">
        <v>MISTURIADO PREPARADO</v>
      </c>
      <c r="B580" t="str">
        <v>Callao</v>
      </c>
      <c r="C580">
        <v>10</v>
      </c>
      <c r="X580" t="s">
        <v>681</v>
      </c>
      <c r="Y580" t="s">
        <v>418</v>
      </c>
      <c r="Z580">
        <v>50</v>
      </c>
    </row>
    <row r="581" spans="1:26" x14ac:dyDescent="0.25">
      <c r="A581" t="str">
        <v>PASAJE COLECTIVO</v>
      </c>
      <c r="B581" t="str">
        <v>Callao</v>
      </c>
      <c r="C581">
        <v>13</v>
      </c>
      <c r="X581" t="s">
        <v>2</v>
      </c>
      <c r="Y581" t="s">
        <v>418</v>
      </c>
      <c r="Z581">
        <v>12</v>
      </c>
    </row>
    <row r="582" spans="1:26" x14ac:dyDescent="0.25">
      <c r="A582" t="str">
        <v>TORTA DE CHOCOLATE ENTERA</v>
      </c>
      <c r="B582" t="str">
        <v>Callao</v>
      </c>
      <c r="C582">
        <v>50</v>
      </c>
      <c r="X582" t="s">
        <v>682</v>
      </c>
      <c r="Y582" t="s">
        <v>418</v>
      </c>
      <c r="Z582">
        <v>50</v>
      </c>
    </row>
    <row r="583" spans="1:26" x14ac:dyDescent="0.25">
      <c r="A583" t="str">
        <v>LECHE EVAPORADA</v>
      </c>
      <c r="B583" t="str">
        <v>Callao</v>
      </c>
      <c r="C583">
        <v>12</v>
      </c>
      <c r="X583" t="s">
        <v>683</v>
      </c>
      <c r="Y583" t="s">
        <v>418</v>
      </c>
      <c r="Z583">
        <v>4</v>
      </c>
    </row>
    <row r="584" spans="1:26" x14ac:dyDescent="0.25">
      <c r="A584" t="str">
        <v>PISCO DE UVA</v>
      </c>
      <c r="B584" t="str">
        <v>Callao</v>
      </c>
      <c r="C584">
        <v>50</v>
      </c>
      <c r="X584" t="s">
        <v>15</v>
      </c>
      <c r="Y584" t="s">
        <v>418</v>
      </c>
      <c r="Z584">
        <v>12</v>
      </c>
    </row>
    <row r="585" spans="1:26" x14ac:dyDescent="0.25">
      <c r="A585" t="str">
        <v>LECHE CONDENSADA</v>
      </c>
      <c r="B585" t="str">
        <v>Callao</v>
      </c>
      <c r="C585">
        <v>4</v>
      </c>
      <c r="X585" t="s">
        <v>223</v>
      </c>
      <c r="Y585" t="s">
        <v>418</v>
      </c>
      <c r="Z585">
        <v>20</v>
      </c>
    </row>
    <row r="586" spans="1:26" x14ac:dyDescent="0.25">
      <c r="A586" t="str">
        <v>CAFE INSTANTANEO ENVASADO</v>
      </c>
      <c r="B586" t="str">
        <v>Callao</v>
      </c>
      <c r="C586">
        <v>12</v>
      </c>
      <c r="X586" t="s">
        <v>12</v>
      </c>
      <c r="Y586" t="s">
        <v>418</v>
      </c>
      <c r="Z586">
        <v>2</v>
      </c>
    </row>
    <row r="587" spans="1:26" x14ac:dyDescent="0.25">
      <c r="A587" t="str">
        <v>PASAJE AUTO</v>
      </c>
      <c r="B587" t="str">
        <v>Callao</v>
      </c>
      <c r="C587">
        <v>20</v>
      </c>
      <c r="X587" t="s">
        <v>608</v>
      </c>
      <c r="Y587" t="s">
        <v>418</v>
      </c>
      <c r="Z587">
        <v>5</v>
      </c>
    </row>
    <row r="588" spans="1:26" x14ac:dyDescent="0.25">
      <c r="A588" t="str">
        <v>LIMON AGRIO</v>
      </c>
      <c r="B588" t="str">
        <v>Callao</v>
      </c>
      <c r="C588">
        <v>2</v>
      </c>
      <c r="X588" t="s">
        <v>684</v>
      </c>
      <c r="Y588" t="s">
        <v>418</v>
      </c>
      <c r="Z588">
        <v>14</v>
      </c>
    </row>
    <row r="589" spans="1:26" x14ac:dyDescent="0.25">
      <c r="A589" t="str">
        <v>PLATANO FRITO ENVASADO</v>
      </c>
      <c r="B589" t="str">
        <v>Callao</v>
      </c>
      <c r="C589">
        <v>5</v>
      </c>
      <c r="X589" t="s">
        <v>685</v>
      </c>
      <c r="Y589" t="s">
        <v>418</v>
      </c>
      <c r="Z589">
        <v>3</v>
      </c>
    </row>
    <row r="590" spans="1:26" x14ac:dyDescent="0.25">
      <c r="A590" t="str">
        <v>CEVICHE DE CONCHAS NEGRAS</v>
      </c>
      <c r="B590" t="str">
        <v>Callao</v>
      </c>
      <c r="C590">
        <v>14</v>
      </c>
      <c r="X590" t="s">
        <v>686</v>
      </c>
      <c r="Y590" t="s">
        <v>418</v>
      </c>
      <c r="Z590">
        <v>5</v>
      </c>
    </row>
    <row r="591" spans="1:26" x14ac:dyDescent="0.25">
      <c r="A591" t="str">
        <v>SANDWICH DE QUESO Y JAMONADA</v>
      </c>
      <c r="B591" t="str">
        <v>Callao</v>
      </c>
      <c r="C591">
        <v>3</v>
      </c>
      <c r="X591" t="s">
        <v>687</v>
      </c>
      <c r="Y591" t="s">
        <v>418</v>
      </c>
      <c r="Z591">
        <v>28</v>
      </c>
    </row>
    <row r="592" spans="1:26" x14ac:dyDescent="0.25">
      <c r="A592" t="str">
        <v>JUGO DE MORA SERVIDO</v>
      </c>
      <c r="B592" t="str">
        <v>Callao</v>
      </c>
      <c r="C592">
        <v>5</v>
      </c>
      <c r="X592" t="s">
        <v>664</v>
      </c>
      <c r="Y592" t="s">
        <v>418</v>
      </c>
      <c r="Z592">
        <v>10</v>
      </c>
    </row>
    <row r="593" spans="1:26" x14ac:dyDescent="0.25">
      <c r="A593" t="str">
        <v>JARABE PARA LA HEMOGLOBINA</v>
      </c>
      <c r="B593" t="str">
        <v>Callao</v>
      </c>
      <c r="C593">
        <v>28</v>
      </c>
      <c r="X593" t="s">
        <v>688</v>
      </c>
      <c r="Y593" t="s">
        <v>418</v>
      </c>
      <c r="Z593">
        <v>3</v>
      </c>
    </row>
    <row r="594" spans="1:26" x14ac:dyDescent="0.25">
      <c r="A594" t="str">
        <v>JARABE PARA LA TOS</v>
      </c>
      <c r="B594" t="str">
        <v>Callao</v>
      </c>
      <c r="C594">
        <v>10</v>
      </c>
      <c r="X594" t="s">
        <v>158</v>
      </c>
      <c r="Y594" t="s">
        <v>418</v>
      </c>
      <c r="Z594">
        <v>1</v>
      </c>
    </row>
    <row r="595" spans="1:26" x14ac:dyDescent="0.25">
      <c r="A595" t="str">
        <v>NARANJA</v>
      </c>
      <c r="B595" t="str">
        <v>Callao</v>
      </c>
      <c r="C595">
        <v>3</v>
      </c>
      <c r="X595" t="s">
        <v>183</v>
      </c>
      <c r="Y595" t="s">
        <v>418</v>
      </c>
      <c r="Z595">
        <v>10</v>
      </c>
    </row>
    <row r="596" spans="1:26" x14ac:dyDescent="0.25">
      <c r="A596" t="str">
        <v>SAZONADOR EN POLVO ENVASADO</v>
      </c>
      <c r="B596" t="str">
        <v>Callao</v>
      </c>
      <c r="C596">
        <v>1</v>
      </c>
      <c r="X596" t="s">
        <v>689</v>
      </c>
      <c r="Y596" t="s">
        <v>418</v>
      </c>
      <c r="Z596">
        <v>2</v>
      </c>
    </row>
    <row r="597" spans="1:26" x14ac:dyDescent="0.25">
      <c r="A597" t="str">
        <v>PASTA DENTAL GRANDE</v>
      </c>
      <c r="B597" t="str">
        <v>Callao</v>
      </c>
      <c r="C597">
        <v>10</v>
      </c>
      <c r="X597" t="s">
        <v>7</v>
      </c>
      <c r="Y597" t="s">
        <v>418</v>
      </c>
      <c r="Z597">
        <v>3</v>
      </c>
    </row>
    <row r="598" spans="1:26" x14ac:dyDescent="0.25">
      <c r="A598" t="str">
        <v>TALLARINES</v>
      </c>
      <c r="B598" t="str">
        <v>Callao</v>
      </c>
      <c r="C598">
        <v>2</v>
      </c>
      <c r="X598" t="s">
        <v>46</v>
      </c>
      <c r="Y598" t="s">
        <v>418</v>
      </c>
      <c r="Z598">
        <v>58</v>
      </c>
    </row>
    <row r="599" spans="1:26" x14ac:dyDescent="0.25">
      <c r="A599" t="str">
        <v>PAPA BLANCA</v>
      </c>
      <c r="B599" t="str">
        <v>Callao</v>
      </c>
      <c r="C599">
        <v>3</v>
      </c>
      <c r="X599" t="s">
        <v>690</v>
      </c>
      <c r="Y599" t="s">
        <v>418</v>
      </c>
      <c r="Z599">
        <v>10</v>
      </c>
    </row>
    <row r="600" spans="1:26" x14ac:dyDescent="0.25">
      <c r="A600" t="str">
        <v>POLLO A LA BRASA</v>
      </c>
      <c r="B600" t="str">
        <v>Callao</v>
      </c>
      <c r="C600">
        <v>58</v>
      </c>
      <c r="X600" t="s">
        <v>691</v>
      </c>
      <c r="Y600" t="s">
        <v>418</v>
      </c>
      <c r="Z600">
        <v>16</v>
      </c>
    </row>
    <row r="601" spans="1:26" x14ac:dyDescent="0.25">
      <c r="A601" t="str">
        <v>ENTRADA A CINE ADULTO</v>
      </c>
      <c r="B601" t="str">
        <v>Callao</v>
      </c>
      <c r="C601">
        <v>10</v>
      </c>
      <c r="X601" t="s">
        <v>692</v>
      </c>
      <c r="Y601" t="s">
        <v>418</v>
      </c>
      <c r="Z601">
        <v>20</v>
      </c>
    </row>
    <row r="602" spans="1:26" x14ac:dyDescent="0.25">
      <c r="A602" t="str">
        <v>ENTRADA A CINE NI O</v>
      </c>
      <c r="B602" t="str">
        <v>Callao</v>
      </c>
      <c r="C602">
        <v>16</v>
      </c>
      <c r="X602" t="s">
        <v>28</v>
      </c>
      <c r="Y602" t="s">
        <v>418</v>
      </c>
      <c r="Z602">
        <v>3</v>
      </c>
    </row>
    <row r="603" spans="1:26" x14ac:dyDescent="0.25">
      <c r="A603" t="str">
        <v>LIMONADA SERVIDA</v>
      </c>
      <c r="B603" t="str">
        <v>Callao</v>
      </c>
      <c r="C603">
        <v>20</v>
      </c>
      <c r="X603" t="s">
        <v>693</v>
      </c>
      <c r="Y603" t="s">
        <v>418</v>
      </c>
      <c r="Z603">
        <v>0</v>
      </c>
    </row>
    <row r="604" spans="1:26" x14ac:dyDescent="0.25">
      <c r="A604" t="str">
        <v>ACEITE VEGETAL ENVASADO</v>
      </c>
      <c r="B604" t="str">
        <v>Callao</v>
      </c>
      <c r="C604">
        <v>3</v>
      </c>
      <c r="X604" t="s">
        <v>694</v>
      </c>
      <c r="Y604" t="s">
        <v>418</v>
      </c>
      <c r="Z604">
        <v>12</v>
      </c>
    </row>
    <row r="605" spans="1:26" x14ac:dyDescent="0.25">
      <c r="A605" t="str">
        <v>PORO</v>
      </c>
      <c r="B605" t="str">
        <v>Callao</v>
      </c>
      <c r="C605">
        <v>0</v>
      </c>
      <c r="X605" t="s">
        <v>678</v>
      </c>
      <c r="Y605" t="s">
        <v>418</v>
      </c>
      <c r="Z605">
        <v>1</v>
      </c>
    </row>
    <row r="606" spans="1:26" x14ac:dyDescent="0.25">
      <c r="A606" t="str">
        <v>LANGOSTINO CON CAPARAZON</v>
      </c>
      <c r="B606" t="str">
        <v>Callao</v>
      </c>
      <c r="C606">
        <v>12</v>
      </c>
      <c r="X606" t="s">
        <v>70</v>
      </c>
      <c r="Y606" t="s">
        <v>418</v>
      </c>
      <c r="Z606">
        <v>14</v>
      </c>
    </row>
    <row r="607" spans="1:26" x14ac:dyDescent="0.25">
      <c r="A607" t="str">
        <v>LECHE ENVASADA</v>
      </c>
      <c r="B607" t="str">
        <v>Callao</v>
      </c>
      <c r="C607">
        <v>1</v>
      </c>
      <c r="X607" t="s">
        <v>695</v>
      </c>
      <c r="Y607" t="s">
        <v>418</v>
      </c>
      <c r="Z607">
        <v>4</v>
      </c>
    </row>
    <row r="608" spans="1:26" x14ac:dyDescent="0.25">
      <c r="A608" t="str">
        <v>ALMUERZO MENU</v>
      </c>
      <c r="B608" t="str">
        <v>Callao</v>
      </c>
      <c r="C608">
        <v>14</v>
      </c>
      <c r="X608" t="s">
        <v>696</v>
      </c>
      <c r="Y608" t="s">
        <v>418</v>
      </c>
      <c r="Z608">
        <v>2</v>
      </c>
    </row>
    <row r="609" spans="1:26" x14ac:dyDescent="0.25">
      <c r="A609" t="str">
        <v>MISTURIADO SERVIDO</v>
      </c>
      <c r="B609" t="str">
        <v>Callao</v>
      </c>
      <c r="C609">
        <v>4</v>
      </c>
      <c r="X609" t="s">
        <v>697</v>
      </c>
      <c r="Y609" t="s">
        <v>418</v>
      </c>
      <c r="Z609">
        <v>0</v>
      </c>
    </row>
    <row r="610" spans="1:26" x14ac:dyDescent="0.25">
      <c r="A610" t="str">
        <v>MOLIDO SERVIDO</v>
      </c>
      <c r="B610" t="str">
        <v>Callao</v>
      </c>
      <c r="C610">
        <v>2</v>
      </c>
      <c r="X610" t="s">
        <v>688</v>
      </c>
      <c r="Y610" t="s">
        <v>418</v>
      </c>
      <c r="Z610">
        <v>1</v>
      </c>
    </row>
    <row r="611" spans="1:26" x14ac:dyDescent="0.25">
      <c r="A611" t="str">
        <v>AJO ENTERO</v>
      </c>
      <c r="B611" t="str">
        <v>Callao</v>
      </c>
      <c r="C611">
        <v>0</v>
      </c>
      <c r="X611" t="s">
        <v>176</v>
      </c>
      <c r="Y611" t="s">
        <v>418</v>
      </c>
      <c r="Z611">
        <v>2</v>
      </c>
    </row>
    <row r="612" spans="1:26" x14ac:dyDescent="0.25">
      <c r="A612" t="str">
        <v>NARANJA</v>
      </c>
      <c r="B612" t="str">
        <v>Callao</v>
      </c>
      <c r="C612">
        <v>1</v>
      </c>
      <c r="X612" t="s">
        <v>698</v>
      </c>
      <c r="Y612" t="s">
        <v>418</v>
      </c>
      <c r="Z612">
        <v>0</v>
      </c>
    </row>
    <row r="613" spans="1:26" x14ac:dyDescent="0.25">
      <c r="A613" t="str">
        <v>PRODUCTO ACHOCOLATADO EN POLVO</v>
      </c>
      <c r="B613" t="str">
        <v>Callao</v>
      </c>
      <c r="C613">
        <v>2</v>
      </c>
      <c r="X613" t="s">
        <v>699</v>
      </c>
      <c r="Y613" t="s">
        <v>418</v>
      </c>
      <c r="Z613">
        <v>1</v>
      </c>
    </row>
    <row r="614" spans="1:26" x14ac:dyDescent="0.25">
      <c r="A614" t="str">
        <v>CANELA A GRANEL</v>
      </c>
      <c r="B614" t="str">
        <v>Callao</v>
      </c>
      <c r="C614">
        <v>0</v>
      </c>
      <c r="X614" t="s">
        <v>700</v>
      </c>
      <c r="Y614" t="s">
        <v>418</v>
      </c>
      <c r="Z614">
        <v>3</v>
      </c>
    </row>
    <row r="615" spans="1:26" x14ac:dyDescent="0.25">
      <c r="A615" t="str">
        <v>FIDEO DE PASTA LARGA ENVASADOS</v>
      </c>
      <c r="B615" t="str">
        <v>Callao</v>
      </c>
      <c r="C615">
        <v>1</v>
      </c>
      <c r="X615" t="s">
        <v>701</v>
      </c>
      <c r="Y615" t="s">
        <v>418</v>
      </c>
      <c r="Z615">
        <v>1</v>
      </c>
    </row>
    <row r="616" spans="1:26" x14ac:dyDescent="0.25">
      <c r="A616" t="str">
        <v>UVA VERDE</v>
      </c>
      <c r="B616" t="str">
        <v>Callao</v>
      </c>
      <c r="C616">
        <v>3</v>
      </c>
      <c r="X616" t="s">
        <v>702</v>
      </c>
      <c r="Y616" t="s">
        <v>418</v>
      </c>
      <c r="Z616">
        <v>1</v>
      </c>
    </row>
    <row r="617" spans="1:26" x14ac:dyDescent="0.25">
      <c r="A617" t="str">
        <v>FIDEO CANUTO ENVASADO</v>
      </c>
      <c r="B617" t="str">
        <v>Callao</v>
      </c>
      <c r="C617">
        <v>1</v>
      </c>
      <c r="X617" t="s">
        <v>703</v>
      </c>
      <c r="Y617" t="s">
        <v>418</v>
      </c>
      <c r="Z617">
        <v>13</v>
      </c>
    </row>
    <row r="618" spans="1:26" x14ac:dyDescent="0.25">
      <c r="A618" t="str">
        <v>MANI MOLIDO</v>
      </c>
      <c r="B618" t="str">
        <v>Callao</v>
      </c>
      <c r="C618">
        <v>1</v>
      </c>
      <c r="X618" t="s">
        <v>704</v>
      </c>
      <c r="Y618" t="s">
        <v>418</v>
      </c>
      <c r="Z618">
        <v>1</v>
      </c>
    </row>
    <row r="619" spans="1:26" x14ac:dyDescent="0.25">
      <c r="A619" t="str">
        <v>PATA DE RES</v>
      </c>
      <c r="B619" t="str">
        <v>Callao</v>
      </c>
      <c r="C619">
        <v>13</v>
      </c>
      <c r="X619" t="s">
        <v>705</v>
      </c>
      <c r="Y619" t="s">
        <v>418</v>
      </c>
      <c r="Z619">
        <v>1</v>
      </c>
    </row>
    <row r="620" spans="1:26" x14ac:dyDescent="0.25">
      <c r="A620" t="str">
        <v>MOTE SANCOCHADO</v>
      </c>
      <c r="B620" t="str">
        <v>Callao</v>
      </c>
      <c r="C620">
        <v>1</v>
      </c>
      <c r="X620" t="s">
        <v>706</v>
      </c>
      <c r="Y620" t="s">
        <v>418</v>
      </c>
      <c r="Z620">
        <v>1</v>
      </c>
    </row>
    <row r="621" spans="1:26" x14ac:dyDescent="0.25">
      <c r="A621" t="str">
        <v>JUGO SURTIDO SERVIDO</v>
      </c>
      <c r="B621" t="str">
        <v>Callao</v>
      </c>
      <c r="C621">
        <v>1</v>
      </c>
      <c r="X621" t="s">
        <v>705</v>
      </c>
      <c r="Y621" t="s">
        <v>418</v>
      </c>
      <c r="Z621">
        <v>3</v>
      </c>
    </row>
    <row r="622" spans="1:26" x14ac:dyDescent="0.25">
      <c r="A622" t="str">
        <v>EMPANADAS DE CARNE</v>
      </c>
      <c r="B622" t="str">
        <v>Callao</v>
      </c>
      <c r="C622">
        <v>1</v>
      </c>
      <c r="X622" t="s">
        <v>74</v>
      </c>
      <c r="Y622" t="s">
        <v>418</v>
      </c>
      <c r="Z622">
        <v>2</v>
      </c>
    </row>
    <row r="623" spans="1:26" x14ac:dyDescent="0.25">
      <c r="A623" t="str">
        <v>JUGO SURTIDO SERVIDO</v>
      </c>
      <c r="B623" t="str">
        <v>Callao</v>
      </c>
      <c r="C623">
        <v>3</v>
      </c>
      <c r="X623" t="s">
        <v>707</v>
      </c>
      <c r="Y623" t="s">
        <v>418</v>
      </c>
      <c r="Z623">
        <v>8</v>
      </c>
    </row>
    <row r="624" spans="1:26" x14ac:dyDescent="0.25">
      <c r="A624" t="str">
        <v>SANDWICH DE POLLO</v>
      </c>
      <c r="B624" t="str">
        <v>Callao</v>
      </c>
      <c r="C624">
        <v>2</v>
      </c>
      <c r="X624" t="s">
        <v>662</v>
      </c>
      <c r="Y624" t="s">
        <v>418</v>
      </c>
      <c r="Z624">
        <v>6</v>
      </c>
    </row>
    <row r="625" spans="1:26" x14ac:dyDescent="0.25">
      <c r="A625" t="str">
        <v>CALDO DE GALLINA</v>
      </c>
      <c r="B625" t="str">
        <v>Callao</v>
      </c>
      <c r="C625">
        <v>8</v>
      </c>
      <c r="X625" t="s">
        <v>708</v>
      </c>
      <c r="Y625" t="s">
        <v>418</v>
      </c>
      <c r="Z625">
        <v>0</v>
      </c>
    </row>
    <row r="626" spans="1:26" x14ac:dyDescent="0.25">
      <c r="A626" t="str">
        <v>PA AL DESECHABLE PARA BEBE</v>
      </c>
      <c r="B626" t="str">
        <v>Callao</v>
      </c>
      <c r="C626">
        <v>6</v>
      </c>
      <c r="X626" t="s">
        <v>662</v>
      </c>
      <c r="Y626" t="s">
        <v>418</v>
      </c>
      <c r="Z626">
        <v>9</v>
      </c>
    </row>
    <row r="627" spans="1:26" x14ac:dyDescent="0.25">
      <c r="A627" t="str">
        <v>KEKE DE CHOCOLATE</v>
      </c>
      <c r="B627" t="str">
        <v>Callao</v>
      </c>
      <c r="C627">
        <v>0</v>
      </c>
      <c r="X627" t="s">
        <v>100</v>
      </c>
      <c r="Y627" t="s">
        <v>418</v>
      </c>
      <c r="Z627">
        <v>4</v>
      </c>
    </row>
    <row r="628" spans="1:26" x14ac:dyDescent="0.25">
      <c r="A628" t="str">
        <v>PA AL DESECHABLE PARA BEBE</v>
      </c>
      <c r="B628" t="str">
        <v>Callao</v>
      </c>
      <c r="C628">
        <v>9</v>
      </c>
      <c r="X628" t="s">
        <v>709</v>
      </c>
      <c r="Y628" t="s">
        <v>418</v>
      </c>
      <c r="Z628">
        <v>0</v>
      </c>
    </row>
    <row r="629" spans="1:26" x14ac:dyDescent="0.25">
      <c r="A629" t="str">
        <v>CARNE DE RES SIN HUESO</v>
      </c>
      <c r="B629" t="str">
        <v>Callao</v>
      </c>
      <c r="C629">
        <v>4</v>
      </c>
      <c r="X629" t="s">
        <v>187</v>
      </c>
      <c r="Y629" t="s">
        <v>418</v>
      </c>
      <c r="Z629">
        <v>3</v>
      </c>
    </row>
    <row r="630" spans="1:26" x14ac:dyDescent="0.25">
      <c r="A630" t="str">
        <v>PIMIENTO ENTERO</v>
      </c>
      <c r="B630" t="str">
        <v>Callao</v>
      </c>
      <c r="C630">
        <v>0</v>
      </c>
      <c r="X630" t="s">
        <v>710</v>
      </c>
      <c r="Y630" t="s">
        <v>418</v>
      </c>
      <c r="Z630">
        <v>1</v>
      </c>
    </row>
    <row r="631" spans="1:26" x14ac:dyDescent="0.25">
      <c r="A631" t="str">
        <v>TAMAL POLLO SERVIDO</v>
      </c>
      <c r="B631" t="str">
        <v>Callao</v>
      </c>
      <c r="C631">
        <v>3</v>
      </c>
      <c r="X631" t="s">
        <v>711</v>
      </c>
      <c r="Y631" t="s">
        <v>418</v>
      </c>
      <c r="Z631">
        <v>3</v>
      </c>
    </row>
    <row r="632" spans="1:26" x14ac:dyDescent="0.25">
      <c r="A632" t="str">
        <v>CHUFLA PREPARADA</v>
      </c>
      <c r="B632" t="str">
        <v>Callao</v>
      </c>
      <c r="C632">
        <v>1</v>
      </c>
      <c r="X632" t="s">
        <v>712</v>
      </c>
      <c r="Y632" t="s">
        <v>418</v>
      </c>
      <c r="Z632">
        <v>4</v>
      </c>
    </row>
    <row r="633" spans="1:26" x14ac:dyDescent="0.25">
      <c r="A633" t="str">
        <v>MANZANA DELICIA</v>
      </c>
      <c r="B633" t="str">
        <v>Callao</v>
      </c>
      <c r="C633">
        <v>3</v>
      </c>
      <c r="X633" t="s">
        <v>713</v>
      </c>
      <c r="Y633" t="s">
        <v>418</v>
      </c>
      <c r="Z633">
        <v>10</v>
      </c>
    </row>
    <row r="634" spans="1:26" x14ac:dyDescent="0.25">
      <c r="A634" t="str">
        <v>REFRESCO ENVASADO FLUIDO</v>
      </c>
      <c r="B634" t="str">
        <v>Callao</v>
      </c>
      <c r="C634">
        <v>4</v>
      </c>
      <c r="X634" t="s">
        <v>714</v>
      </c>
      <c r="Y634" t="s">
        <v>418</v>
      </c>
      <c r="Z634">
        <v>6</v>
      </c>
    </row>
    <row r="635" spans="1:26" x14ac:dyDescent="0.25">
      <c r="A635" t="str">
        <v>POLLADA PREPARADA</v>
      </c>
      <c r="B635" t="str">
        <v>Callao</v>
      </c>
      <c r="C635">
        <v>10</v>
      </c>
      <c r="X635" t="s">
        <v>224</v>
      </c>
      <c r="Y635" t="s">
        <v>418</v>
      </c>
      <c r="Z635">
        <v>7</v>
      </c>
    </row>
    <row r="636" spans="1:26" x14ac:dyDescent="0.25">
      <c r="A636" t="str">
        <v>JARABE PARA LA FIEBRE</v>
      </c>
      <c r="B636" t="str">
        <v>Callao</v>
      </c>
      <c r="C636">
        <v>6</v>
      </c>
      <c r="X636" t="s">
        <v>715</v>
      </c>
      <c r="Y636" t="s">
        <v>418</v>
      </c>
      <c r="Z636">
        <v>70</v>
      </c>
    </row>
    <row r="637" spans="1:26" x14ac:dyDescent="0.25">
      <c r="A637" t="str">
        <v>MENU DE DESAYUNO</v>
      </c>
      <c r="B637" t="str">
        <v>Callao</v>
      </c>
      <c r="C637">
        <v>7</v>
      </c>
      <c r="X637" t="s">
        <v>629</v>
      </c>
      <c r="Y637" t="s">
        <v>418</v>
      </c>
      <c r="Z637">
        <v>2</v>
      </c>
    </row>
    <row r="638" spans="1:26" x14ac:dyDescent="0.25">
      <c r="A638" t="str">
        <v>CERVEZA RUBIA</v>
      </c>
      <c r="B638" t="str">
        <v>Callao</v>
      </c>
      <c r="C638">
        <v>70</v>
      </c>
      <c r="X638" t="s">
        <v>716</v>
      </c>
      <c r="Y638" t="s">
        <v>418</v>
      </c>
      <c r="Z638">
        <v>4</v>
      </c>
    </row>
    <row r="639" spans="1:26" x14ac:dyDescent="0.25">
      <c r="A639" t="str">
        <v>PASAJE EN AUTO</v>
      </c>
      <c r="B639" t="str">
        <v>Callao</v>
      </c>
      <c r="C639">
        <v>2</v>
      </c>
      <c r="X639" t="s">
        <v>717</v>
      </c>
      <c r="Y639" t="s">
        <v>418</v>
      </c>
      <c r="Z639">
        <v>3</v>
      </c>
    </row>
    <row r="640" spans="1:26" x14ac:dyDescent="0.25">
      <c r="A640" t="str">
        <v>CEVICHE MIXTO SERVIDO</v>
      </c>
      <c r="B640" t="str">
        <v>Callao</v>
      </c>
      <c r="C640">
        <v>4</v>
      </c>
      <c r="X640" t="s">
        <v>122</v>
      </c>
      <c r="Y640" t="s">
        <v>418</v>
      </c>
      <c r="Z640">
        <v>7</v>
      </c>
    </row>
    <row r="641" spans="1:26" x14ac:dyDescent="0.25">
      <c r="A641" t="str">
        <v>PAN HAMBURGUESA POLLO</v>
      </c>
      <c r="B641" t="str">
        <v>Callao</v>
      </c>
      <c r="C641">
        <v>3</v>
      </c>
      <c r="X641" t="s">
        <v>119</v>
      </c>
      <c r="Y641" t="s">
        <v>418</v>
      </c>
      <c r="Z641">
        <v>1</v>
      </c>
    </row>
    <row r="642" spans="1:26" x14ac:dyDescent="0.25">
      <c r="A642" t="str">
        <v>CENA MENU</v>
      </c>
      <c r="B642" t="str">
        <v>Callao</v>
      </c>
      <c r="C642">
        <v>7</v>
      </c>
      <c r="X642" t="s">
        <v>41</v>
      </c>
      <c r="Y642" t="s">
        <v>418</v>
      </c>
      <c r="Z642">
        <v>2</v>
      </c>
    </row>
    <row r="643" spans="1:26" x14ac:dyDescent="0.25">
      <c r="A643" t="str">
        <v>PASAJE COLECTIVO</v>
      </c>
      <c r="B643" t="str">
        <v>Callao</v>
      </c>
      <c r="C643">
        <v>1</v>
      </c>
      <c r="X643" t="s">
        <v>191</v>
      </c>
      <c r="Y643" t="s">
        <v>418</v>
      </c>
      <c r="Z643">
        <v>4</v>
      </c>
    </row>
    <row r="644" spans="1:26" x14ac:dyDescent="0.25">
      <c r="A644" t="str">
        <v>JAMONADA ENVASADA</v>
      </c>
      <c r="B644" t="str">
        <v>Callao</v>
      </c>
      <c r="C644">
        <v>2</v>
      </c>
      <c r="X644" t="s">
        <v>89</v>
      </c>
      <c r="Y644" t="s">
        <v>418</v>
      </c>
      <c r="Z644">
        <v>13</v>
      </c>
    </row>
    <row r="645" spans="1:26" x14ac:dyDescent="0.25">
      <c r="A645" t="str">
        <v>SOYA PREPARADA</v>
      </c>
      <c r="B645" t="str">
        <v>Callao</v>
      </c>
      <c r="C645">
        <v>4</v>
      </c>
      <c r="X645" t="s">
        <v>718</v>
      </c>
      <c r="Y645" t="s">
        <v>418</v>
      </c>
      <c r="Z645">
        <v>5</v>
      </c>
    </row>
    <row r="646" spans="1:26" x14ac:dyDescent="0.25">
      <c r="A646" t="str">
        <v>PECHUGA DE POLLO</v>
      </c>
      <c r="B646" t="str">
        <v>Callao</v>
      </c>
      <c r="C646">
        <v>13</v>
      </c>
      <c r="X646" t="s">
        <v>59</v>
      </c>
      <c r="Y646" t="s">
        <v>418</v>
      </c>
      <c r="Z646">
        <v>7</v>
      </c>
    </row>
    <row r="647" spans="1:26" x14ac:dyDescent="0.25">
      <c r="A647" t="str">
        <v>POLLO BROASTER</v>
      </c>
      <c r="B647" t="str">
        <v>Callao</v>
      </c>
      <c r="C647">
        <v>5</v>
      </c>
      <c r="X647" t="s">
        <v>719</v>
      </c>
      <c r="Y647" t="s">
        <v>418</v>
      </c>
      <c r="Z647">
        <v>1</v>
      </c>
    </row>
    <row r="648" spans="1:26" x14ac:dyDescent="0.25">
      <c r="A648" t="str">
        <v>SIERRA FRESCA</v>
      </c>
      <c r="B648" t="str">
        <v>Callao</v>
      </c>
      <c r="C648">
        <v>7</v>
      </c>
      <c r="X648" t="s">
        <v>720</v>
      </c>
      <c r="Y648" t="s">
        <v>418</v>
      </c>
      <c r="Z648">
        <v>0</v>
      </c>
    </row>
    <row r="649" spans="1:26" x14ac:dyDescent="0.25">
      <c r="A649" t="str">
        <v>YUCA</v>
      </c>
      <c r="B649" t="str">
        <v>Callao</v>
      </c>
      <c r="C649">
        <v>1</v>
      </c>
      <c r="X649" t="s">
        <v>721</v>
      </c>
      <c r="Y649" t="s">
        <v>418</v>
      </c>
      <c r="Z649">
        <v>4</v>
      </c>
    </row>
    <row r="650" spans="1:26" x14ac:dyDescent="0.25">
      <c r="A650" t="str">
        <v>COCOA</v>
      </c>
      <c r="B650" t="str">
        <v>Callao</v>
      </c>
      <c r="C650">
        <v>0</v>
      </c>
      <c r="X650" t="s">
        <v>722</v>
      </c>
      <c r="Y650" t="s">
        <v>418</v>
      </c>
      <c r="Z650">
        <v>25</v>
      </c>
    </row>
    <row r="651" spans="1:26" x14ac:dyDescent="0.25">
      <c r="A651" t="str">
        <v>FIDEOS DE PASTA LARGA A GRANEL</v>
      </c>
      <c r="B651" t="str">
        <v>Callao</v>
      </c>
      <c r="C651">
        <v>4</v>
      </c>
      <c r="X651" t="s">
        <v>715</v>
      </c>
      <c r="Y651" t="s">
        <v>418</v>
      </c>
      <c r="Z651">
        <v>30</v>
      </c>
    </row>
    <row r="652" spans="1:26" x14ac:dyDescent="0.25">
      <c r="A652" t="str">
        <v>CHULETA DE RES</v>
      </c>
      <c r="B652" t="str">
        <v>Callao</v>
      </c>
      <c r="C652">
        <v>25</v>
      </c>
      <c r="X652" t="s">
        <v>723</v>
      </c>
      <c r="Y652" t="s">
        <v>418</v>
      </c>
      <c r="Z652">
        <v>1</v>
      </c>
    </row>
    <row r="653" spans="1:26" x14ac:dyDescent="0.25">
      <c r="A653" t="str">
        <v>CERVEZA RUBIA</v>
      </c>
      <c r="B653" t="str">
        <v>Callao</v>
      </c>
      <c r="C653">
        <v>30</v>
      </c>
      <c r="X653" t="s">
        <v>202</v>
      </c>
      <c r="Y653" t="s">
        <v>418</v>
      </c>
      <c r="Z653">
        <v>10</v>
      </c>
    </row>
    <row r="654" spans="1:26" x14ac:dyDescent="0.25">
      <c r="A654" t="str">
        <v>HOT DOG DE CERDO ENVASADO</v>
      </c>
      <c r="B654" t="str">
        <v>Callao</v>
      </c>
      <c r="C654">
        <v>1</v>
      </c>
      <c r="X654" t="s">
        <v>724</v>
      </c>
      <c r="Y654" t="s">
        <v>418</v>
      </c>
      <c r="Z654">
        <v>5</v>
      </c>
    </row>
    <row r="655" spans="1:26" x14ac:dyDescent="0.25">
      <c r="A655" t="str">
        <v>YOGURT BEBIBLE ENVASADO</v>
      </c>
      <c r="B655" t="str">
        <v>Callao</v>
      </c>
      <c r="C655">
        <v>10</v>
      </c>
      <c r="X655" t="s">
        <v>725</v>
      </c>
      <c r="Y655" t="s">
        <v>418</v>
      </c>
      <c r="Z655">
        <v>0</v>
      </c>
    </row>
    <row r="656" spans="1:26" x14ac:dyDescent="0.25">
      <c r="A656" t="str">
        <v>TAMAL DE POLLO PREPARADO</v>
      </c>
      <c r="B656" t="str">
        <v>Callao</v>
      </c>
      <c r="C656">
        <v>5</v>
      </c>
      <c r="X656" t="s">
        <v>662</v>
      </c>
      <c r="Y656" t="s">
        <v>418</v>
      </c>
      <c r="Z656">
        <v>4</v>
      </c>
    </row>
    <row r="657" spans="1:26" x14ac:dyDescent="0.25">
      <c r="A657" t="str">
        <v>CEREALES PRECESADOS ENRIQUECIDOS</v>
      </c>
      <c r="B657" t="str">
        <v>Callao</v>
      </c>
      <c r="C657">
        <v>0</v>
      </c>
      <c r="X657" t="s">
        <v>205</v>
      </c>
      <c r="Y657" t="s">
        <v>418</v>
      </c>
      <c r="Z657">
        <v>1</v>
      </c>
    </row>
    <row r="658" spans="1:26" x14ac:dyDescent="0.25">
      <c r="A658" t="str">
        <v>PA AL DESECHABLE PARA BEBE</v>
      </c>
      <c r="B658" t="str">
        <v>Callao</v>
      </c>
      <c r="C658">
        <v>4</v>
      </c>
      <c r="X658" t="s">
        <v>726</v>
      </c>
      <c r="Y658" t="s">
        <v>418</v>
      </c>
      <c r="Z658">
        <v>0</v>
      </c>
    </row>
    <row r="659" spans="1:26" x14ac:dyDescent="0.25">
      <c r="A659" t="str">
        <v>CEREALES PROCESADOS ENRIQUECIDOS</v>
      </c>
      <c r="B659" t="str">
        <v>Callao</v>
      </c>
      <c r="C659">
        <v>1</v>
      </c>
      <c r="X659" t="s">
        <v>727</v>
      </c>
      <c r="Y659" t="s">
        <v>418</v>
      </c>
      <c r="Z659">
        <v>24</v>
      </c>
    </row>
    <row r="660" spans="1:26" x14ac:dyDescent="0.25">
      <c r="A660" t="str">
        <v>CEREALES PROCESADOS ENREQUECIDOS</v>
      </c>
      <c r="B660" t="str">
        <v>Callao</v>
      </c>
      <c r="C660">
        <v>0</v>
      </c>
      <c r="X660" t="s">
        <v>202</v>
      </c>
      <c r="Y660" t="s">
        <v>418</v>
      </c>
      <c r="Z660">
        <v>3</v>
      </c>
    </row>
    <row r="661" spans="1:26" x14ac:dyDescent="0.25">
      <c r="A661" t="str">
        <v>TRUZA MUJER</v>
      </c>
      <c r="B661" t="str">
        <v>Callao</v>
      </c>
      <c r="C661">
        <v>24</v>
      </c>
      <c r="X661" t="s">
        <v>728</v>
      </c>
      <c r="Y661" t="s">
        <v>418</v>
      </c>
      <c r="Z661">
        <v>17</v>
      </c>
    </row>
    <row r="662" spans="1:26" x14ac:dyDescent="0.25">
      <c r="A662" t="str">
        <v>YOGURT BEBIBLE ENVASADO</v>
      </c>
      <c r="B662" t="str">
        <v>Callao</v>
      </c>
      <c r="C662">
        <v>3</v>
      </c>
      <c r="X662" t="s">
        <v>729</v>
      </c>
      <c r="Y662" t="s">
        <v>418</v>
      </c>
      <c r="Z662">
        <v>7</v>
      </c>
    </row>
    <row r="663" spans="1:26" x14ac:dyDescent="0.25">
      <c r="A663" t="str">
        <v>DESODORANTE PARA MUJER</v>
      </c>
      <c r="B663" t="str">
        <v>Callao</v>
      </c>
      <c r="C663">
        <v>17</v>
      </c>
      <c r="X663" t="s">
        <v>15</v>
      </c>
      <c r="Y663" t="s">
        <v>418</v>
      </c>
      <c r="Z663">
        <v>0</v>
      </c>
    </row>
    <row r="664" spans="1:26" x14ac:dyDescent="0.25">
      <c r="A664" t="str">
        <v>CAJA DE COLORES</v>
      </c>
      <c r="B664" t="str">
        <v>Callao</v>
      </c>
      <c r="C664">
        <v>7</v>
      </c>
      <c r="X664" t="s">
        <v>730</v>
      </c>
      <c r="Y664" t="s">
        <v>418</v>
      </c>
      <c r="Z664">
        <v>5</v>
      </c>
    </row>
    <row r="665" spans="1:26" x14ac:dyDescent="0.25">
      <c r="A665" t="str">
        <v>CAFE INSTANTANEO ENVASADO</v>
      </c>
      <c r="B665" t="str">
        <v>Callao</v>
      </c>
      <c r="C665">
        <v>0</v>
      </c>
      <c r="X665" t="s">
        <v>731</v>
      </c>
      <c r="Y665" t="s">
        <v>418</v>
      </c>
      <c r="Z665">
        <v>1</v>
      </c>
    </row>
    <row r="666" spans="1:26" x14ac:dyDescent="0.25">
      <c r="A666" t="str">
        <v>PANAL DESECHABLE PARA BEBE</v>
      </c>
      <c r="B666" t="str">
        <v>Callao</v>
      </c>
      <c r="C666">
        <v>5</v>
      </c>
      <c r="X666" t="s">
        <v>732</v>
      </c>
      <c r="Y666" t="s">
        <v>418</v>
      </c>
      <c r="Z666">
        <v>50</v>
      </c>
    </row>
    <row r="667" spans="1:26" x14ac:dyDescent="0.25">
      <c r="A667" t="str">
        <v>CEREALES PROCESADOS ENREQUCIDOS</v>
      </c>
      <c r="B667" t="str">
        <v>Callao</v>
      </c>
      <c r="C667">
        <v>1</v>
      </c>
      <c r="X667" t="s">
        <v>733</v>
      </c>
      <c r="Y667" t="s">
        <v>418</v>
      </c>
      <c r="Z667">
        <v>3</v>
      </c>
    </row>
    <row r="668" spans="1:26" x14ac:dyDescent="0.25">
      <c r="A668" t="str">
        <v>VESTIDO DE BEBE</v>
      </c>
      <c r="B668" t="str">
        <v>Callao</v>
      </c>
      <c r="C668">
        <v>50</v>
      </c>
      <c r="X668" t="s">
        <v>734</v>
      </c>
      <c r="Y668" t="s">
        <v>418</v>
      </c>
      <c r="Z668">
        <v>1</v>
      </c>
    </row>
    <row r="669" spans="1:26" x14ac:dyDescent="0.25">
      <c r="A669" t="str">
        <v>TAJADOR</v>
      </c>
      <c r="B669" t="str">
        <v>Callao</v>
      </c>
      <c r="C669">
        <v>3</v>
      </c>
      <c r="X669" t="s">
        <v>729</v>
      </c>
      <c r="Y669" t="s">
        <v>418</v>
      </c>
      <c r="Z669">
        <v>6</v>
      </c>
    </row>
    <row r="670" spans="1:26" x14ac:dyDescent="0.25">
      <c r="A670" t="str">
        <v>LAPIZ DE CARBONCILLO NEGRO</v>
      </c>
      <c r="B670" t="str">
        <v>Callao</v>
      </c>
      <c r="C670">
        <v>1</v>
      </c>
      <c r="X670" t="s">
        <v>662</v>
      </c>
      <c r="Y670" t="s">
        <v>418</v>
      </c>
      <c r="Z670">
        <v>5</v>
      </c>
    </row>
    <row r="671" spans="1:26" x14ac:dyDescent="0.25">
      <c r="A671" t="str">
        <v>CAJA DE COLORES</v>
      </c>
      <c r="B671" t="str">
        <v>Callao</v>
      </c>
      <c r="C671">
        <v>6</v>
      </c>
      <c r="X671" t="s">
        <v>86</v>
      </c>
      <c r="Y671" t="s">
        <v>418</v>
      </c>
      <c r="Z671">
        <v>4</v>
      </c>
    </row>
    <row r="672" spans="1:26" x14ac:dyDescent="0.25">
      <c r="A672" t="str">
        <v>PA AL DESECHABLE PARA BEBE</v>
      </c>
      <c r="B672" t="str">
        <v>Callao</v>
      </c>
      <c r="C672">
        <v>5</v>
      </c>
      <c r="X672" t="s">
        <v>171</v>
      </c>
      <c r="Y672" t="s">
        <v>418</v>
      </c>
      <c r="Z672">
        <v>8</v>
      </c>
    </row>
    <row r="673" spans="1:26" x14ac:dyDescent="0.25">
      <c r="A673" t="str">
        <v>MANZANA CHILENA</v>
      </c>
      <c r="B673" t="str">
        <v>Callao</v>
      </c>
      <c r="C673">
        <v>4</v>
      </c>
      <c r="X673" t="s">
        <v>735</v>
      </c>
      <c r="Y673" t="s">
        <v>418</v>
      </c>
      <c r="Z673">
        <v>20</v>
      </c>
    </row>
    <row r="674" spans="1:26" x14ac:dyDescent="0.25">
      <c r="A674" t="str">
        <v>PASAJE EN MOTOKAR</v>
      </c>
      <c r="B674" t="str">
        <v>Callao</v>
      </c>
      <c r="C674">
        <v>8</v>
      </c>
      <c r="X674" t="s">
        <v>662</v>
      </c>
      <c r="Y674" t="s">
        <v>418</v>
      </c>
      <c r="Z674">
        <v>2</v>
      </c>
    </row>
    <row r="675" spans="1:26" x14ac:dyDescent="0.25">
      <c r="A675" t="str">
        <v>TALLARINES SALTADOS</v>
      </c>
      <c r="B675" t="str">
        <v>Callao</v>
      </c>
      <c r="C675">
        <v>20</v>
      </c>
      <c r="X675" t="s">
        <v>37</v>
      </c>
      <c r="Y675" t="s">
        <v>418</v>
      </c>
      <c r="Z675">
        <v>5</v>
      </c>
    </row>
    <row r="676" spans="1:26" x14ac:dyDescent="0.25">
      <c r="A676" t="str">
        <v>PA AL DESECHABLE PARA BEBE</v>
      </c>
      <c r="B676" t="str">
        <v>Callao</v>
      </c>
      <c r="C676">
        <v>2</v>
      </c>
      <c r="X676" t="s">
        <v>190</v>
      </c>
      <c r="Y676" t="s">
        <v>418</v>
      </c>
      <c r="Z676">
        <v>2</v>
      </c>
    </row>
    <row r="677" spans="1:26" x14ac:dyDescent="0.25">
      <c r="A677" t="str">
        <v>PLATANO VERDE</v>
      </c>
      <c r="B677" t="str">
        <v>Callao</v>
      </c>
      <c r="C677">
        <v>5</v>
      </c>
      <c r="X677" t="s">
        <v>736</v>
      </c>
      <c r="Y677" t="s">
        <v>418</v>
      </c>
      <c r="Z677">
        <v>3</v>
      </c>
    </row>
    <row r="678" spans="1:26" x14ac:dyDescent="0.25">
      <c r="A678" t="str">
        <v>ACEITE VEGETAL A GRANEL</v>
      </c>
      <c r="B678" t="str">
        <v>Callao</v>
      </c>
      <c r="C678">
        <v>2</v>
      </c>
      <c r="X678" t="s">
        <v>13</v>
      </c>
      <c r="Y678" t="s">
        <v>418</v>
      </c>
      <c r="Z678">
        <v>3</v>
      </c>
    </row>
    <row r="679" spans="1:26" x14ac:dyDescent="0.25">
      <c r="A679" t="str">
        <v>PIERNA DE POLLO</v>
      </c>
      <c r="B679" t="str">
        <v>Callao</v>
      </c>
      <c r="C679">
        <v>3</v>
      </c>
      <c r="X679" t="s">
        <v>737</v>
      </c>
      <c r="Y679" t="s">
        <v>418</v>
      </c>
      <c r="Z679">
        <v>3</v>
      </c>
    </row>
    <row r="680" spans="1:26" x14ac:dyDescent="0.25">
      <c r="A680" t="str">
        <v>AZUCAR RUBIA A GRANEL</v>
      </c>
      <c r="B680" t="str">
        <v>Callao</v>
      </c>
      <c r="C680">
        <v>3</v>
      </c>
      <c r="X680" t="s">
        <v>60</v>
      </c>
      <c r="Y680" t="s">
        <v>418</v>
      </c>
      <c r="Z680">
        <v>16</v>
      </c>
    </row>
    <row r="681" spans="1:26" x14ac:dyDescent="0.25">
      <c r="A681" t="str">
        <v>VERDURA PREPARADA</v>
      </c>
      <c r="B681" t="str">
        <v>Callao</v>
      </c>
      <c r="C681">
        <v>3</v>
      </c>
      <c r="X681" t="s">
        <v>738</v>
      </c>
      <c r="Y681" t="s">
        <v>418</v>
      </c>
      <c r="Z681">
        <v>1</v>
      </c>
    </row>
    <row r="682" spans="1:26" x14ac:dyDescent="0.25">
      <c r="A682" t="str">
        <v>POLLO EVISCERADO</v>
      </c>
      <c r="B682" t="str">
        <v>Callao</v>
      </c>
      <c r="C682">
        <v>16</v>
      </c>
      <c r="X682" t="s">
        <v>739</v>
      </c>
      <c r="Y682" t="s">
        <v>418</v>
      </c>
      <c r="Z682">
        <v>1</v>
      </c>
    </row>
    <row r="683" spans="1:26" x14ac:dyDescent="0.25">
      <c r="A683" t="str">
        <v>BROCOLI</v>
      </c>
      <c r="B683" t="str">
        <v>Callao</v>
      </c>
      <c r="C683">
        <v>1</v>
      </c>
      <c r="X683" t="s">
        <v>740</v>
      </c>
      <c r="Y683" t="s">
        <v>418</v>
      </c>
      <c r="Z683">
        <v>1</v>
      </c>
    </row>
    <row r="684" spans="1:26" x14ac:dyDescent="0.25">
      <c r="A684" t="str">
        <v>COLIFLOR</v>
      </c>
      <c r="B684" t="str">
        <v>Callao</v>
      </c>
      <c r="C684">
        <v>1</v>
      </c>
      <c r="X684" t="s">
        <v>741</v>
      </c>
      <c r="Y684" t="s">
        <v>418</v>
      </c>
      <c r="Z684">
        <v>4</v>
      </c>
    </row>
    <row r="685" spans="1:26" x14ac:dyDescent="0.25">
      <c r="A685" t="str">
        <v>PEPINILLO</v>
      </c>
      <c r="B685" t="str">
        <v>Callao</v>
      </c>
      <c r="C685">
        <v>1</v>
      </c>
      <c r="X685" t="s">
        <v>36</v>
      </c>
      <c r="Y685" t="s">
        <v>418</v>
      </c>
      <c r="Z685">
        <v>1</v>
      </c>
    </row>
    <row r="686" spans="1:26" x14ac:dyDescent="0.25">
      <c r="A686" t="str">
        <v>ARROZ SUPERIOR A GRANEL</v>
      </c>
      <c r="B686" t="str">
        <v>Callao</v>
      </c>
      <c r="C686">
        <v>4</v>
      </c>
      <c r="X686" t="s">
        <v>106</v>
      </c>
      <c r="Y686" t="s">
        <v>418</v>
      </c>
      <c r="Z686">
        <v>3</v>
      </c>
    </row>
    <row r="687" spans="1:26" x14ac:dyDescent="0.25">
      <c r="A687" t="str">
        <v>FREJOL BAYO A GRANEL</v>
      </c>
      <c r="B687" t="str">
        <v>Callao</v>
      </c>
      <c r="C687">
        <v>1</v>
      </c>
      <c r="X687" t="s">
        <v>742</v>
      </c>
      <c r="Y687" t="s">
        <v>418</v>
      </c>
      <c r="Z687">
        <v>10</v>
      </c>
    </row>
    <row r="688" spans="1:26" x14ac:dyDescent="0.25">
      <c r="A688" t="str">
        <v>AJO ENTERO SIN PELAR</v>
      </c>
      <c r="B688" t="str">
        <v>Callao</v>
      </c>
      <c r="C688">
        <v>3</v>
      </c>
      <c r="X688" t="s">
        <v>743</v>
      </c>
      <c r="Y688" t="s">
        <v>418</v>
      </c>
      <c r="Z688">
        <v>0</v>
      </c>
    </row>
    <row r="689" spans="1:26" x14ac:dyDescent="0.25">
      <c r="A689" t="str">
        <v>POLO SPORT NI O</v>
      </c>
      <c r="B689" t="str">
        <v>Callao</v>
      </c>
      <c r="C689">
        <v>10</v>
      </c>
      <c r="X689" t="s">
        <v>148</v>
      </c>
      <c r="Y689" t="s">
        <v>418</v>
      </c>
      <c r="Z689">
        <v>2</v>
      </c>
    </row>
    <row r="690" spans="1:26" x14ac:dyDescent="0.25">
      <c r="A690" t="str">
        <v>TE NEGRO FILTRANTE</v>
      </c>
      <c r="B690" t="str">
        <v>Callao</v>
      </c>
      <c r="C690">
        <v>0</v>
      </c>
      <c r="X690" t="s">
        <v>744</v>
      </c>
      <c r="Y690" t="s">
        <v>418</v>
      </c>
      <c r="Z690">
        <v>5</v>
      </c>
    </row>
    <row r="691" spans="1:26" x14ac:dyDescent="0.25">
      <c r="A691" t="str">
        <v>MARACUYA</v>
      </c>
      <c r="B691" t="str">
        <v>Callao</v>
      </c>
      <c r="C691">
        <v>2</v>
      </c>
      <c r="X691" t="s">
        <v>207</v>
      </c>
      <c r="Y691" t="s">
        <v>418</v>
      </c>
      <c r="Z691">
        <v>0</v>
      </c>
    </row>
    <row r="692" spans="1:26" x14ac:dyDescent="0.25">
      <c r="A692" t="str">
        <v>PASTILLA PARA LA TIROIDES</v>
      </c>
      <c r="B692" t="str">
        <v>Callao</v>
      </c>
      <c r="C692">
        <v>5</v>
      </c>
      <c r="X692" t="s">
        <v>721</v>
      </c>
      <c r="Y692" t="s">
        <v>418</v>
      </c>
      <c r="Z692">
        <v>1</v>
      </c>
    </row>
    <row r="693" spans="1:26" x14ac:dyDescent="0.25">
      <c r="A693" t="str">
        <v>GALLETA DULCE ENVASADA</v>
      </c>
      <c r="B693" t="str">
        <v>Callao</v>
      </c>
      <c r="C693">
        <v>0</v>
      </c>
      <c r="X693" t="s">
        <v>147</v>
      </c>
      <c r="Y693" t="s">
        <v>418</v>
      </c>
      <c r="Z693">
        <v>2</v>
      </c>
    </row>
    <row r="694" spans="1:26" x14ac:dyDescent="0.25">
      <c r="A694" t="str">
        <v>FIDEOS DE PASTA LARGA A GRANEL</v>
      </c>
      <c r="B694" t="str">
        <v>Callao</v>
      </c>
      <c r="C694">
        <v>1</v>
      </c>
      <c r="X694" t="s">
        <v>186</v>
      </c>
      <c r="Y694" t="s">
        <v>418</v>
      </c>
      <c r="Z694">
        <v>3</v>
      </c>
    </row>
    <row r="695" spans="1:26" x14ac:dyDescent="0.25">
      <c r="A695" t="str">
        <v>ZANAHORIA ENTERA</v>
      </c>
      <c r="B695" t="str">
        <v>Callao</v>
      </c>
      <c r="C695">
        <v>2</v>
      </c>
      <c r="X695" t="s">
        <v>745</v>
      </c>
      <c r="Y695" t="s">
        <v>418</v>
      </c>
      <c r="Z695">
        <v>2</v>
      </c>
    </row>
    <row r="696" spans="1:26" x14ac:dyDescent="0.25">
      <c r="A696" t="str">
        <v>MEZCLA LACTEA COMPUESTA</v>
      </c>
      <c r="B696" t="str">
        <v>Callao</v>
      </c>
      <c r="C696">
        <v>3</v>
      </c>
      <c r="X696" t="s">
        <v>746</v>
      </c>
      <c r="Y696" t="s">
        <v>418</v>
      </c>
      <c r="Z696">
        <v>30</v>
      </c>
    </row>
    <row r="697" spans="1:26" x14ac:dyDescent="0.25">
      <c r="A697" t="str">
        <v>TE CHINO FILTRANTE</v>
      </c>
      <c r="B697" t="str">
        <v>Callao</v>
      </c>
      <c r="C697">
        <v>2</v>
      </c>
      <c r="X697" t="s">
        <v>69</v>
      </c>
      <c r="Y697" t="s">
        <v>418</v>
      </c>
      <c r="Z697">
        <v>2</v>
      </c>
    </row>
    <row r="698" spans="1:26" x14ac:dyDescent="0.25">
      <c r="A698" t="str">
        <v>CERVEZA RUBIA SERVIDA</v>
      </c>
      <c r="B698" t="str">
        <v>Callao</v>
      </c>
      <c r="C698">
        <v>30</v>
      </c>
      <c r="X698" t="s">
        <v>747</v>
      </c>
      <c r="Y698" t="s">
        <v>418</v>
      </c>
      <c r="Z698">
        <v>3</v>
      </c>
    </row>
    <row r="699" spans="1:26" x14ac:dyDescent="0.25">
      <c r="A699" t="str">
        <v>GALLETA DE SODA ENVASADA</v>
      </c>
      <c r="B699" t="str">
        <v>Callao</v>
      </c>
      <c r="C699">
        <v>2</v>
      </c>
      <c r="X699" t="s">
        <v>183</v>
      </c>
      <c r="Y699" t="s">
        <v>418</v>
      </c>
      <c r="Z699">
        <v>3</v>
      </c>
    </row>
    <row r="700" spans="1:26" x14ac:dyDescent="0.25">
      <c r="A700" t="str">
        <v>SALSA CHINA ENVASADA</v>
      </c>
      <c r="B700" t="str">
        <v>Callao</v>
      </c>
      <c r="C700">
        <v>3</v>
      </c>
      <c r="X700" t="s">
        <v>112</v>
      </c>
      <c r="Y700" t="s">
        <v>418</v>
      </c>
      <c r="Z700">
        <v>7</v>
      </c>
    </row>
    <row r="701" spans="1:26" x14ac:dyDescent="0.25">
      <c r="A701" t="str">
        <v>PASTA DENTAL GRANDE</v>
      </c>
      <c r="B701" t="str">
        <v>Callao</v>
      </c>
      <c r="C701">
        <v>3</v>
      </c>
      <c r="X701" t="s">
        <v>748</v>
      </c>
      <c r="Y701" t="s">
        <v>418</v>
      </c>
      <c r="Z701">
        <v>3</v>
      </c>
    </row>
    <row r="702" spans="1:26" x14ac:dyDescent="0.25">
      <c r="A702" t="str">
        <v>TOALLA HIGIENICA</v>
      </c>
      <c r="B702" t="str">
        <v>Callao</v>
      </c>
      <c r="C702">
        <v>7</v>
      </c>
      <c r="X702" t="s">
        <v>226</v>
      </c>
      <c r="Y702" t="s">
        <v>418</v>
      </c>
      <c r="Z702">
        <v>9</v>
      </c>
    </row>
    <row r="703" spans="1:26" x14ac:dyDescent="0.25">
      <c r="A703" t="str">
        <v>DESINFECTANTE EN FRASCO</v>
      </c>
      <c r="B703" t="str">
        <v>Callao</v>
      </c>
      <c r="C703">
        <v>3</v>
      </c>
      <c r="X703" t="s">
        <v>249</v>
      </c>
      <c r="Y703" t="s">
        <v>418</v>
      </c>
      <c r="Z703">
        <v>2</v>
      </c>
    </row>
    <row r="704" spans="1:26" x14ac:dyDescent="0.25">
      <c r="A704" t="str">
        <v>DETERGENTE EN POLVO ENVASADO</v>
      </c>
      <c r="B704" t="str">
        <v>Callao</v>
      </c>
      <c r="C704">
        <v>9</v>
      </c>
      <c r="X704" t="s">
        <v>206</v>
      </c>
      <c r="Y704" t="s">
        <v>418</v>
      </c>
      <c r="Z704">
        <v>3</v>
      </c>
    </row>
    <row r="705" spans="1:26" x14ac:dyDescent="0.25">
      <c r="A705" t="str">
        <v>SUAVIZANTE DE ROPA</v>
      </c>
      <c r="B705" t="str">
        <v>Callao</v>
      </c>
      <c r="C705">
        <v>2</v>
      </c>
      <c r="X705" t="s">
        <v>749</v>
      </c>
      <c r="Y705" t="s">
        <v>418</v>
      </c>
      <c r="Z705">
        <v>1</v>
      </c>
    </row>
    <row r="706" spans="1:26" x14ac:dyDescent="0.25">
      <c r="A706" t="str">
        <v>LEJIA EN FRASCO</v>
      </c>
      <c r="B706" t="str">
        <v>Callao</v>
      </c>
      <c r="C706">
        <v>3</v>
      </c>
      <c r="X706" t="s">
        <v>750</v>
      </c>
      <c r="Y706" t="s">
        <v>418</v>
      </c>
      <c r="Z706">
        <v>5</v>
      </c>
    </row>
    <row r="707" spans="1:26" x14ac:dyDescent="0.25">
      <c r="A707" t="str">
        <v>ESPONJA DE ALAMBRE</v>
      </c>
      <c r="B707" t="str">
        <v>Callao</v>
      </c>
      <c r="C707">
        <v>1</v>
      </c>
      <c r="X707" t="s">
        <v>751</v>
      </c>
      <c r="Y707" t="s">
        <v>418</v>
      </c>
      <c r="Z707">
        <v>2</v>
      </c>
    </row>
    <row r="708" spans="1:26" x14ac:dyDescent="0.25">
      <c r="A708" t="str">
        <v>LAVAVAJILLA</v>
      </c>
      <c r="B708" t="str">
        <v>Callao</v>
      </c>
      <c r="C708">
        <v>5</v>
      </c>
      <c r="X708" t="s">
        <v>752</v>
      </c>
      <c r="Y708" t="s">
        <v>418</v>
      </c>
      <c r="Z708">
        <v>3</v>
      </c>
    </row>
    <row r="709" spans="1:26" x14ac:dyDescent="0.25">
      <c r="A709" t="str">
        <v>PASTA PARA CALZADO</v>
      </c>
      <c r="B709" t="str">
        <v>Callao</v>
      </c>
      <c r="C709">
        <v>2</v>
      </c>
      <c r="X709" t="s">
        <v>753</v>
      </c>
      <c r="Y709" t="s">
        <v>418</v>
      </c>
      <c r="Z709">
        <v>7</v>
      </c>
    </row>
    <row r="710" spans="1:26" x14ac:dyDescent="0.25">
      <c r="A710" t="str">
        <v>RECOGEDOR DE BASURA</v>
      </c>
      <c r="B710" t="str">
        <v>Callao</v>
      </c>
      <c r="C710">
        <v>3</v>
      </c>
      <c r="X710" t="s">
        <v>754</v>
      </c>
      <c r="Y710" t="s">
        <v>418</v>
      </c>
      <c r="Z710">
        <v>5</v>
      </c>
    </row>
    <row r="711" spans="1:26" x14ac:dyDescent="0.25">
      <c r="A711" t="str">
        <v>ESCOBA PLASTICA</v>
      </c>
      <c r="B711" t="str">
        <v>Callao</v>
      </c>
      <c r="C711">
        <v>7</v>
      </c>
      <c r="X711" t="s">
        <v>592</v>
      </c>
      <c r="Y711" t="s">
        <v>418</v>
      </c>
      <c r="Z711">
        <v>2</v>
      </c>
    </row>
    <row r="712" spans="1:26" x14ac:dyDescent="0.25">
      <c r="A712" t="str">
        <v>TRAPEADOR DE YUTE</v>
      </c>
      <c r="B712" t="str">
        <v>Callao</v>
      </c>
      <c r="C712">
        <v>5</v>
      </c>
      <c r="X712" t="s">
        <v>755</v>
      </c>
      <c r="Y712" t="s">
        <v>418</v>
      </c>
      <c r="Z712">
        <v>4</v>
      </c>
    </row>
    <row r="713" spans="1:26" x14ac:dyDescent="0.25">
      <c r="A713" t="str">
        <v>VELA</v>
      </c>
      <c r="B713" t="str">
        <v>Callao</v>
      </c>
      <c r="C713">
        <v>2</v>
      </c>
      <c r="X713" t="s">
        <v>92</v>
      </c>
      <c r="Y713" t="s">
        <v>418</v>
      </c>
      <c r="Z713">
        <v>12</v>
      </c>
    </row>
    <row r="714" spans="1:26" x14ac:dyDescent="0.25">
      <c r="A714" t="str">
        <v>ANILLADO DE LIBRO</v>
      </c>
      <c r="B714" t="str">
        <v>Callao</v>
      </c>
      <c r="C714">
        <v>4</v>
      </c>
      <c r="X714" t="s">
        <v>60</v>
      </c>
      <c r="Y714" t="s">
        <v>418</v>
      </c>
      <c r="Z714">
        <v>17</v>
      </c>
    </row>
    <row r="715" spans="1:26" x14ac:dyDescent="0.25">
      <c r="A715" t="str">
        <v>GRATED DE ATUN</v>
      </c>
      <c r="B715" t="str">
        <v>Callao</v>
      </c>
      <c r="C715">
        <v>12</v>
      </c>
      <c r="X715" t="s">
        <v>756</v>
      </c>
      <c r="Y715" t="s">
        <v>418</v>
      </c>
      <c r="Z715">
        <v>1</v>
      </c>
    </row>
    <row r="716" spans="1:26" x14ac:dyDescent="0.25">
      <c r="A716" t="str">
        <v>POLLO EVISCERADO</v>
      </c>
      <c r="B716" t="str">
        <v>Callao</v>
      </c>
      <c r="C716">
        <v>17</v>
      </c>
      <c r="X716" t="s">
        <v>623</v>
      </c>
      <c r="Y716" t="s">
        <v>418</v>
      </c>
      <c r="Z716">
        <v>1</v>
      </c>
    </row>
    <row r="717" spans="1:26" x14ac:dyDescent="0.25">
      <c r="A717" t="str">
        <v>ARVEJA VERDE PARTIDA</v>
      </c>
      <c r="B717" t="str">
        <v>Callao</v>
      </c>
      <c r="C717">
        <v>1</v>
      </c>
      <c r="X717" t="s">
        <v>177</v>
      </c>
      <c r="Y717" t="s">
        <v>418</v>
      </c>
      <c r="Z717">
        <v>3</v>
      </c>
    </row>
    <row r="718" spans="1:26" x14ac:dyDescent="0.25">
      <c r="A718" t="str">
        <v>AJI PANCA MOLIDO ENVASADO</v>
      </c>
      <c r="B718" t="str">
        <v>Callao</v>
      </c>
      <c r="C718">
        <v>1</v>
      </c>
      <c r="X718" t="s">
        <v>757</v>
      </c>
      <c r="Y718" t="s">
        <v>418</v>
      </c>
      <c r="Z718">
        <v>15</v>
      </c>
    </row>
    <row r="719" spans="1:26" x14ac:dyDescent="0.25">
      <c r="A719" t="str">
        <v>MENUDENCIA DE POLLO</v>
      </c>
      <c r="B719" t="str">
        <v>Callao</v>
      </c>
      <c r="C719">
        <v>3</v>
      </c>
      <c r="X719" t="s">
        <v>741</v>
      </c>
      <c r="Y719" t="s">
        <v>418</v>
      </c>
      <c r="Z719">
        <v>6</v>
      </c>
    </row>
    <row r="720" spans="1:26" x14ac:dyDescent="0.25">
      <c r="A720" t="str">
        <v>CHARELA FRESCA</v>
      </c>
      <c r="B720" t="str">
        <v>Callao</v>
      </c>
      <c r="C720">
        <v>15</v>
      </c>
      <c r="X720" t="s">
        <v>758</v>
      </c>
      <c r="Y720" t="s">
        <v>418</v>
      </c>
      <c r="Z720">
        <v>1</v>
      </c>
    </row>
    <row r="721" spans="1:26" x14ac:dyDescent="0.25">
      <c r="A721" t="str">
        <v>ARROZ SUPERIOR A GRANEL</v>
      </c>
      <c r="B721" t="str">
        <v>Callao</v>
      </c>
      <c r="C721">
        <v>6</v>
      </c>
      <c r="X721" t="s">
        <v>1</v>
      </c>
      <c r="Y721" t="s">
        <v>418</v>
      </c>
      <c r="Z721">
        <v>4</v>
      </c>
    </row>
    <row r="722" spans="1:26" x14ac:dyDescent="0.25">
      <c r="A722" t="str">
        <v>FIDEOS DE PASTA LARGA ENVASADO</v>
      </c>
      <c r="B722" t="str">
        <v>Callao</v>
      </c>
      <c r="C722">
        <v>1</v>
      </c>
      <c r="X722" t="s">
        <v>759</v>
      </c>
      <c r="Y722" t="s">
        <v>418</v>
      </c>
      <c r="Z722">
        <v>1</v>
      </c>
    </row>
    <row r="723" spans="1:26" x14ac:dyDescent="0.25">
      <c r="A723" t="str">
        <v>HUEVO DE GALLINA ROSADO A GRANEL</v>
      </c>
      <c r="B723" t="str">
        <v>Callao</v>
      </c>
      <c r="C723">
        <v>4</v>
      </c>
      <c r="X723" t="s">
        <v>760</v>
      </c>
      <c r="Y723" t="s">
        <v>418</v>
      </c>
      <c r="Z723">
        <v>11</v>
      </c>
    </row>
    <row r="724" spans="1:26" x14ac:dyDescent="0.25">
      <c r="A724" t="str">
        <v>HIERBA LUISA EN HIERBA</v>
      </c>
      <c r="B724" t="str">
        <v>Callao</v>
      </c>
      <c r="C724">
        <v>1</v>
      </c>
      <c r="X724" t="s">
        <v>761</v>
      </c>
      <c r="Y724" t="s">
        <v>418</v>
      </c>
      <c r="Z724">
        <v>10</v>
      </c>
    </row>
    <row r="725" spans="1:26" x14ac:dyDescent="0.25">
      <c r="A725" t="str">
        <v>CUADERNO ENGRAMPADO A4</v>
      </c>
      <c r="B725" t="str">
        <v>Callao</v>
      </c>
      <c r="C725">
        <v>11</v>
      </c>
      <c r="X725" t="s">
        <v>22</v>
      </c>
      <c r="Y725" t="s">
        <v>418</v>
      </c>
      <c r="Z725">
        <v>2</v>
      </c>
    </row>
    <row r="726" spans="1:26" x14ac:dyDescent="0.25">
      <c r="A726" t="str">
        <v>FILETE DE POLLITO</v>
      </c>
      <c r="B726" t="str">
        <v>Callao</v>
      </c>
      <c r="C726">
        <v>10</v>
      </c>
      <c r="X726" t="s">
        <v>602</v>
      </c>
      <c r="Y726" t="s">
        <v>418</v>
      </c>
      <c r="Z726">
        <v>1</v>
      </c>
    </row>
    <row r="727" spans="1:26" x14ac:dyDescent="0.25">
      <c r="A727" t="str">
        <v>CULANTRO ENTERO</v>
      </c>
      <c r="B727" t="str">
        <v>Callao</v>
      </c>
      <c r="C727">
        <v>2</v>
      </c>
      <c r="X727" t="s">
        <v>762</v>
      </c>
      <c r="Y727" t="s">
        <v>418</v>
      </c>
      <c r="Z727">
        <v>1</v>
      </c>
    </row>
    <row r="728" spans="1:26" x14ac:dyDescent="0.25">
      <c r="A728" t="str">
        <v>AJI ROCOTO</v>
      </c>
      <c r="B728" t="str">
        <v>Callao</v>
      </c>
      <c r="C728">
        <v>1</v>
      </c>
      <c r="X728" t="s">
        <v>668</v>
      </c>
      <c r="Y728" t="s">
        <v>418</v>
      </c>
      <c r="Z728">
        <v>2</v>
      </c>
    </row>
    <row r="729" spans="1:26" x14ac:dyDescent="0.25">
      <c r="A729" t="str">
        <v>MAIZ TOSTADO A GRANEL</v>
      </c>
      <c r="B729" t="str">
        <v>Callao</v>
      </c>
      <c r="C729">
        <v>1</v>
      </c>
      <c r="X729" t="s">
        <v>763</v>
      </c>
      <c r="Y729" t="s">
        <v>418</v>
      </c>
      <c r="Z729">
        <v>1</v>
      </c>
    </row>
    <row r="730" spans="1:26" x14ac:dyDescent="0.25">
      <c r="A730" t="str">
        <v>PLATANO FRITO A GRANEL</v>
      </c>
      <c r="B730" t="str">
        <v>Callao</v>
      </c>
      <c r="C730">
        <v>2</v>
      </c>
      <c r="X730" t="s">
        <v>741</v>
      </c>
      <c r="Y730" t="s">
        <v>418</v>
      </c>
      <c r="Z730">
        <v>1</v>
      </c>
    </row>
    <row r="731" spans="1:26" x14ac:dyDescent="0.25">
      <c r="A731" t="str">
        <v>QUAKER SERVIDO</v>
      </c>
      <c r="B731" t="str">
        <v>Callao</v>
      </c>
      <c r="C731">
        <v>1</v>
      </c>
      <c r="X731" t="s">
        <v>764</v>
      </c>
      <c r="Y731" t="s">
        <v>418</v>
      </c>
      <c r="Z731">
        <v>0</v>
      </c>
    </row>
    <row r="732" spans="1:26" x14ac:dyDescent="0.25">
      <c r="A732" t="str">
        <v>ARROZ SUPERIOR A GRANEL</v>
      </c>
      <c r="B732" t="str">
        <v>Callao</v>
      </c>
      <c r="C732">
        <v>1</v>
      </c>
      <c r="X732" t="s">
        <v>765</v>
      </c>
      <c r="Y732" t="s">
        <v>418</v>
      </c>
      <c r="Z732">
        <v>3</v>
      </c>
    </row>
    <row r="733" spans="1:26" x14ac:dyDescent="0.25">
      <c r="A733" t="str">
        <v>ACHIOTE ENTERO</v>
      </c>
      <c r="B733" t="str">
        <v>Callao</v>
      </c>
      <c r="C733">
        <v>0</v>
      </c>
      <c r="X733" t="s">
        <v>766</v>
      </c>
      <c r="Y733" t="s">
        <v>418</v>
      </c>
      <c r="Z733">
        <v>8</v>
      </c>
    </row>
    <row r="734" spans="1:26" x14ac:dyDescent="0.25">
      <c r="A734" t="str">
        <v>SANDIA</v>
      </c>
      <c r="B734" t="str">
        <v>Callao</v>
      </c>
      <c r="C734">
        <v>3</v>
      </c>
      <c r="X734" t="s">
        <v>767</v>
      </c>
      <c r="Y734" t="s">
        <v>418</v>
      </c>
      <c r="Z734">
        <v>10</v>
      </c>
    </row>
    <row r="735" spans="1:26" x14ac:dyDescent="0.25">
      <c r="A735" t="str">
        <v>SANDALIAS DE PLASTICO PARA BEBE</v>
      </c>
      <c r="B735" t="str">
        <v>Callao</v>
      </c>
      <c r="C735">
        <v>8</v>
      </c>
      <c r="X735" t="s">
        <v>70</v>
      </c>
      <c r="Y735" t="s">
        <v>418</v>
      </c>
      <c r="Z735">
        <v>21</v>
      </c>
    </row>
    <row r="736" spans="1:26" x14ac:dyDescent="0.25">
      <c r="A736" t="str">
        <v>CUADRO DE FOTOS</v>
      </c>
      <c r="B736" t="str">
        <v>Callao</v>
      </c>
      <c r="C736">
        <v>10</v>
      </c>
      <c r="X736" t="s">
        <v>184</v>
      </c>
      <c r="Y736" t="s">
        <v>418</v>
      </c>
      <c r="Z736">
        <v>4</v>
      </c>
    </row>
    <row r="737" spans="1:26" x14ac:dyDescent="0.25">
      <c r="A737" t="str">
        <v>ALMUERZO MENU</v>
      </c>
      <c r="B737" t="str">
        <v>Callao</v>
      </c>
      <c r="C737">
        <v>21</v>
      </c>
      <c r="X737" t="s">
        <v>741</v>
      </c>
      <c r="Y737" t="s">
        <v>418</v>
      </c>
      <c r="Z737">
        <v>3</v>
      </c>
    </row>
    <row r="738" spans="1:26" x14ac:dyDescent="0.25">
      <c r="A738" t="str">
        <v>JABON DE TOCADOR EN BARRA</v>
      </c>
      <c r="B738" t="str">
        <v>Callao</v>
      </c>
      <c r="C738">
        <v>4</v>
      </c>
      <c r="X738" t="s">
        <v>768</v>
      </c>
      <c r="Y738" t="s">
        <v>418</v>
      </c>
      <c r="Z738">
        <v>0</v>
      </c>
    </row>
    <row r="739" spans="1:26" x14ac:dyDescent="0.25">
      <c r="A739" t="str">
        <v>ARROZ SUPERIOR A GRANEL</v>
      </c>
      <c r="B739" t="str">
        <v>Callao</v>
      </c>
      <c r="C739">
        <v>3</v>
      </c>
      <c r="X739" t="s">
        <v>741</v>
      </c>
      <c r="Y739" t="s">
        <v>418</v>
      </c>
      <c r="Z739">
        <v>2</v>
      </c>
    </row>
    <row r="740" spans="1:26" x14ac:dyDescent="0.25">
      <c r="A740" t="str">
        <v>CARAMELOS DUROS ENVASADOS</v>
      </c>
      <c r="B740" t="str">
        <v>Callao</v>
      </c>
      <c r="C740">
        <v>0</v>
      </c>
      <c r="X740" t="s">
        <v>634</v>
      </c>
      <c r="Y740" t="s">
        <v>418</v>
      </c>
      <c r="Z740">
        <v>1</v>
      </c>
    </row>
    <row r="741" spans="1:26" x14ac:dyDescent="0.25">
      <c r="A741" t="str">
        <v>ARROZ SUPERIOR A GRANEL</v>
      </c>
      <c r="B741" t="str">
        <v>Callao</v>
      </c>
      <c r="C741">
        <v>2</v>
      </c>
      <c r="X741" t="s">
        <v>28</v>
      </c>
      <c r="Y741" t="s">
        <v>418</v>
      </c>
      <c r="Z741">
        <v>1</v>
      </c>
    </row>
    <row r="742" spans="1:26" x14ac:dyDescent="0.25">
      <c r="A742" t="str">
        <v>FREJOL BAYO PRECOCIDO</v>
      </c>
      <c r="B742" t="str">
        <v>Callao</v>
      </c>
      <c r="C742">
        <v>1</v>
      </c>
      <c r="X742" t="s">
        <v>769</v>
      </c>
      <c r="Y742" t="s">
        <v>418</v>
      </c>
      <c r="Z742">
        <v>9</v>
      </c>
    </row>
    <row r="743" spans="1:26" x14ac:dyDescent="0.25">
      <c r="A743" t="str">
        <v>ACEITE VEGETAL ENVASADO</v>
      </c>
      <c r="B743" t="str">
        <v>Callao</v>
      </c>
      <c r="C743">
        <v>1</v>
      </c>
      <c r="X743" t="s">
        <v>647</v>
      </c>
      <c r="Y743" t="s">
        <v>418</v>
      </c>
      <c r="Z743">
        <v>0</v>
      </c>
    </row>
    <row r="744" spans="1:26" x14ac:dyDescent="0.25">
      <c r="A744" t="str">
        <v>COSTILLA DE RES</v>
      </c>
      <c r="B744" t="str">
        <v>Callao</v>
      </c>
      <c r="C744">
        <v>9</v>
      </c>
      <c r="X744" t="s">
        <v>770</v>
      </c>
      <c r="Y744" t="s">
        <v>418</v>
      </c>
      <c r="Z744">
        <v>1</v>
      </c>
    </row>
    <row r="745" spans="1:26" x14ac:dyDescent="0.25">
      <c r="A745" t="str">
        <v>CHOCLO CRIOLLO</v>
      </c>
      <c r="B745" t="str">
        <v>Callao</v>
      </c>
      <c r="C745">
        <v>0</v>
      </c>
      <c r="X745" t="s">
        <v>771</v>
      </c>
      <c r="Y745" t="s">
        <v>418</v>
      </c>
      <c r="Z745">
        <v>0</v>
      </c>
    </row>
    <row r="746" spans="1:26" x14ac:dyDescent="0.25">
      <c r="A746" t="str">
        <v>FIDEO TALLARIN</v>
      </c>
      <c r="B746" t="str">
        <v>Callao</v>
      </c>
      <c r="C746">
        <v>1</v>
      </c>
      <c r="X746" t="s">
        <v>1</v>
      </c>
      <c r="Y746" t="s">
        <v>418</v>
      </c>
      <c r="Z746">
        <v>3</v>
      </c>
    </row>
    <row r="747" spans="1:26" x14ac:dyDescent="0.25">
      <c r="A747" t="str">
        <v>HIERBABUENA</v>
      </c>
      <c r="B747" t="str">
        <v>Callao</v>
      </c>
      <c r="C747">
        <v>0</v>
      </c>
      <c r="X747" t="s">
        <v>772</v>
      </c>
      <c r="Y747" t="s">
        <v>418</v>
      </c>
      <c r="Z747">
        <v>1</v>
      </c>
    </row>
    <row r="748" spans="1:26" x14ac:dyDescent="0.25">
      <c r="A748" t="str">
        <v>HUEVO DE GALLINA ROSADO A GRANEL</v>
      </c>
      <c r="B748" t="str">
        <v>Callao</v>
      </c>
      <c r="C748">
        <v>3</v>
      </c>
      <c r="X748" t="s">
        <v>100</v>
      </c>
      <c r="Y748" t="s">
        <v>418</v>
      </c>
      <c r="Z748">
        <v>12</v>
      </c>
    </row>
    <row r="749" spans="1:26" x14ac:dyDescent="0.25">
      <c r="A749" t="str">
        <v>REFRESCOS INSTANTANEOS</v>
      </c>
      <c r="B749" t="str">
        <v>Callao</v>
      </c>
      <c r="C749">
        <v>1</v>
      </c>
      <c r="X749" t="s">
        <v>773</v>
      </c>
      <c r="Y749" t="s">
        <v>418</v>
      </c>
      <c r="Z749">
        <v>2</v>
      </c>
    </row>
    <row r="750" spans="1:26" x14ac:dyDescent="0.25">
      <c r="A750" t="str">
        <v>CARNE DE RES SIN HUESO</v>
      </c>
      <c r="B750" t="str">
        <v>Callao</v>
      </c>
      <c r="C750">
        <v>12</v>
      </c>
      <c r="X750" t="s">
        <v>226</v>
      </c>
      <c r="Y750" t="s">
        <v>418</v>
      </c>
      <c r="Z750">
        <v>2</v>
      </c>
    </row>
    <row r="751" spans="1:26" x14ac:dyDescent="0.25">
      <c r="A751" t="str">
        <v>MANZANA CORRIENTE</v>
      </c>
      <c r="B751" t="str">
        <v>Callao</v>
      </c>
      <c r="C751">
        <v>2</v>
      </c>
      <c r="X751" t="s">
        <v>774</v>
      </c>
      <c r="Y751" t="s">
        <v>418</v>
      </c>
      <c r="Z751">
        <v>4</v>
      </c>
    </row>
    <row r="752" spans="1:26" x14ac:dyDescent="0.25">
      <c r="A752" t="str">
        <v>DETERGENTE EN POLVO ENVASADO</v>
      </c>
      <c r="B752" t="str">
        <v>Callao</v>
      </c>
      <c r="C752">
        <v>2</v>
      </c>
      <c r="X752" t="s">
        <v>775</v>
      </c>
      <c r="Y752" t="s">
        <v>418</v>
      </c>
      <c r="Z752">
        <v>1</v>
      </c>
    </row>
    <row r="753" spans="1:26" x14ac:dyDescent="0.25">
      <c r="A753" t="str">
        <v>PAN CON HAMBURGUESA EN AMBULANTE</v>
      </c>
      <c r="B753" t="str">
        <v>Callao</v>
      </c>
      <c r="C753">
        <v>4</v>
      </c>
      <c r="X753" t="s">
        <v>620</v>
      </c>
      <c r="Y753" t="s">
        <v>418</v>
      </c>
      <c r="Z753">
        <v>1</v>
      </c>
    </row>
    <row r="754" spans="1:26" x14ac:dyDescent="0.25">
      <c r="A754" t="str">
        <v>VINAGRE BLANCO</v>
      </c>
      <c r="B754" t="str">
        <v>Callao</v>
      </c>
      <c r="C754">
        <v>1</v>
      </c>
      <c r="X754" t="s">
        <v>776</v>
      </c>
      <c r="Y754" t="s">
        <v>418</v>
      </c>
      <c r="Z754">
        <v>1</v>
      </c>
    </row>
    <row r="755" spans="1:26" x14ac:dyDescent="0.25">
      <c r="A755" t="str">
        <v>NARANJILLA</v>
      </c>
      <c r="B755" t="str">
        <v>Callao</v>
      </c>
      <c r="C755">
        <v>1</v>
      </c>
      <c r="X755" t="s">
        <v>70</v>
      </c>
      <c r="Y755" t="s">
        <v>418</v>
      </c>
      <c r="Z755">
        <v>20</v>
      </c>
    </row>
    <row r="756" spans="1:26" x14ac:dyDescent="0.25">
      <c r="A756" t="str">
        <v>MORTADELA</v>
      </c>
      <c r="B756" t="str">
        <v>Callao</v>
      </c>
      <c r="C756">
        <v>1</v>
      </c>
      <c r="X756" t="s">
        <v>777</v>
      </c>
      <c r="Y756" t="s">
        <v>418</v>
      </c>
      <c r="Z756">
        <v>20</v>
      </c>
    </row>
    <row r="757" spans="1:26" x14ac:dyDescent="0.25">
      <c r="A757" t="str">
        <v>ALMUERZO MENU</v>
      </c>
      <c r="B757" t="str">
        <v>Callao</v>
      </c>
      <c r="C757">
        <v>20</v>
      </c>
      <c r="X757" t="s">
        <v>100</v>
      </c>
      <c r="Y757" t="s">
        <v>418</v>
      </c>
      <c r="Z757">
        <v>17</v>
      </c>
    </row>
    <row r="758" spans="1:26" x14ac:dyDescent="0.25">
      <c r="A758" t="str">
        <v>ARROZ CON TOLLITO</v>
      </c>
      <c r="B758" t="str">
        <v>Callao</v>
      </c>
      <c r="C758">
        <v>20</v>
      </c>
      <c r="X758" t="s">
        <v>46</v>
      </c>
      <c r="Y758" t="s">
        <v>418</v>
      </c>
      <c r="Z758">
        <v>36</v>
      </c>
    </row>
    <row r="759" spans="1:26" x14ac:dyDescent="0.25">
      <c r="A759" t="str">
        <v>CARNE DE RES SIN HUESO</v>
      </c>
      <c r="B759" t="str">
        <v>Callao</v>
      </c>
      <c r="C759">
        <v>17</v>
      </c>
      <c r="X759" t="s">
        <v>778</v>
      </c>
      <c r="Y759" t="s">
        <v>418</v>
      </c>
      <c r="Z759">
        <v>2</v>
      </c>
    </row>
    <row r="760" spans="1:26" x14ac:dyDescent="0.25">
      <c r="A760" t="str">
        <v>POLLO A LA BRASA</v>
      </c>
      <c r="B760" t="str">
        <v>Callao</v>
      </c>
      <c r="C760">
        <v>36</v>
      </c>
      <c r="X760" t="s">
        <v>214</v>
      </c>
      <c r="Y760" t="s">
        <v>418</v>
      </c>
      <c r="Z760">
        <v>2</v>
      </c>
    </row>
    <row r="761" spans="1:26" x14ac:dyDescent="0.25">
      <c r="A761" t="str">
        <v>LECHE DE SOYA SERVIDA</v>
      </c>
      <c r="B761" t="str">
        <v>Callao</v>
      </c>
      <c r="C761">
        <v>2</v>
      </c>
      <c r="X761" t="s">
        <v>778</v>
      </c>
      <c r="Y761" t="s">
        <v>418</v>
      </c>
      <c r="Z761">
        <v>1</v>
      </c>
    </row>
    <row r="762" spans="1:26" x14ac:dyDescent="0.25">
      <c r="A762" t="str">
        <v>MARGARINA ENVASADA</v>
      </c>
      <c r="B762" t="str">
        <v>Callao</v>
      </c>
      <c r="C762">
        <v>2</v>
      </c>
      <c r="X762" t="s">
        <v>779</v>
      </c>
      <c r="Y762" t="s">
        <v>418</v>
      </c>
      <c r="Z762">
        <v>2</v>
      </c>
    </row>
    <row r="763" spans="1:26" x14ac:dyDescent="0.25">
      <c r="A763" t="str">
        <v>LECHE DE SOYA SERVIDA</v>
      </c>
      <c r="B763" t="str">
        <v>Callao</v>
      </c>
      <c r="C763">
        <v>1</v>
      </c>
      <c r="X763" t="s">
        <v>780</v>
      </c>
      <c r="Y763" t="s">
        <v>418</v>
      </c>
      <c r="Z763">
        <v>2</v>
      </c>
    </row>
    <row r="764" spans="1:26" x14ac:dyDescent="0.25">
      <c r="A764" t="str">
        <v>PASTILLA PARA EL DOLOR MUSCULAR</v>
      </c>
      <c r="B764" t="str">
        <v>Callao</v>
      </c>
      <c r="C764">
        <v>2</v>
      </c>
      <c r="X764" t="s">
        <v>609</v>
      </c>
      <c r="Y764" t="s">
        <v>418</v>
      </c>
      <c r="Z764">
        <v>2</v>
      </c>
    </row>
    <row r="765" spans="1:26" x14ac:dyDescent="0.25">
      <c r="A765" t="str">
        <v>CIGARRILLO MENTOLADO</v>
      </c>
      <c r="B765" t="str">
        <v>Callao</v>
      </c>
      <c r="C765">
        <v>2</v>
      </c>
      <c r="X765" t="s">
        <v>604</v>
      </c>
      <c r="Y765" t="s">
        <v>418</v>
      </c>
      <c r="Z765">
        <v>5</v>
      </c>
    </row>
    <row r="766" spans="1:26" x14ac:dyDescent="0.25">
      <c r="A766" t="str">
        <v>AGUADITO SERVIDO</v>
      </c>
      <c r="B766" t="str">
        <v>Callao</v>
      </c>
      <c r="C766">
        <v>2</v>
      </c>
      <c r="X766" t="s">
        <v>122</v>
      </c>
      <c r="Y766" t="s">
        <v>418</v>
      </c>
      <c r="Z766">
        <v>6</v>
      </c>
    </row>
    <row r="767" spans="1:26" x14ac:dyDescent="0.25">
      <c r="A767" t="str">
        <v>SALCHIPOLLO</v>
      </c>
      <c r="B767" t="str">
        <v>Callao</v>
      </c>
      <c r="C767">
        <v>5</v>
      </c>
      <c r="X767" t="s">
        <v>27</v>
      </c>
      <c r="Y767" t="s">
        <v>418</v>
      </c>
      <c r="Z767">
        <v>3</v>
      </c>
    </row>
    <row r="768" spans="1:26" x14ac:dyDescent="0.25">
      <c r="A768" t="str">
        <v>CENA MENU</v>
      </c>
      <c r="B768" t="str">
        <v>Callao</v>
      </c>
      <c r="C768">
        <v>6</v>
      </c>
      <c r="X768" t="s">
        <v>781</v>
      </c>
      <c r="Y768" t="s">
        <v>418</v>
      </c>
      <c r="Z768">
        <v>3</v>
      </c>
    </row>
    <row r="769" spans="1:26" x14ac:dyDescent="0.25">
      <c r="A769" t="str">
        <v>TAMAL VERDE POLLO SERVIDO</v>
      </c>
      <c r="B769" t="str">
        <v>Callao</v>
      </c>
      <c r="C769">
        <v>3</v>
      </c>
      <c r="X769" t="s">
        <v>60</v>
      </c>
      <c r="Y769" t="s">
        <v>418</v>
      </c>
      <c r="Z769">
        <v>3</v>
      </c>
    </row>
    <row r="770" spans="1:26" x14ac:dyDescent="0.25">
      <c r="A770" t="str">
        <v>CREMA PARA LOS HONGOS</v>
      </c>
      <c r="B770" t="str">
        <v>Callao</v>
      </c>
      <c r="C770">
        <v>3</v>
      </c>
      <c r="X770" t="s">
        <v>782</v>
      </c>
      <c r="Y770" t="s">
        <v>418</v>
      </c>
      <c r="Z770">
        <v>3</v>
      </c>
    </row>
    <row r="771" spans="1:26" x14ac:dyDescent="0.25">
      <c r="A771" t="str">
        <v>POLLO EVISCERADO</v>
      </c>
      <c r="B771" t="str">
        <v>Callao</v>
      </c>
      <c r="C771">
        <v>3</v>
      </c>
      <c r="X771" t="s">
        <v>782</v>
      </c>
      <c r="Y771" t="s">
        <v>418</v>
      </c>
      <c r="Z771">
        <v>1</v>
      </c>
    </row>
    <row r="772" spans="1:26" x14ac:dyDescent="0.25">
      <c r="A772" t="str">
        <v>PASTILLA PARA LA PROSTATA</v>
      </c>
      <c r="B772" t="str">
        <v>Callao</v>
      </c>
      <c r="C772">
        <v>3</v>
      </c>
      <c r="X772" t="s">
        <v>171</v>
      </c>
      <c r="Y772" t="s">
        <v>418</v>
      </c>
      <c r="Z772">
        <v>3</v>
      </c>
    </row>
    <row r="773" spans="1:26" x14ac:dyDescent="0.25">
      <c r="A773" t="str">
        <v>PASTILLA PARA LA PROSTATA</v>
      </c>
      <c r="B773" t="str">
        <v>Callao</v>
      </c>
      <c r="C773">
        <v>1</v>
      </c>
      <c r="X773" t="s">
        <v>193</v>
      </c>
      <c r="Y773" t="s">
        <v>418</v>
      </c>
      <c r="Z773">
        <v>3</v>
      </c>
    </row>
    <row r="774" spans="1:26" x14ac:dyDescent="0.25">
      <c r="A774" t="str">
        <v>PASAJE EN MOTOKAR</v>
      </c>
      <c r="B774" t="str">
        <v>Callao</v>
      </c>
      <c r="C774">
        <v>3</v>
      </c>
      <c r="X774" t="s">
        <v>122</v>
      </c>
      <c r="Y774" t="s">
        <v>418</v>
      </c>
      <c r="Z774">
        <v>18</v>
      </c>
    </row>
    <row r="775" spans="1:26" x14ac:dyDescent="0.25">
      <c r="A775" t="str">
        <v>HIGADO DE POLLO</v>
      </c>
      <c r="B775" t="str">
        <v>Callao</v>
      </c>
      <c r="C775">
        <v>3</v>
      </c>
      <c r="X775" t="s">
        <v>783</v>
      </c>
      <c r="Y775" t="s">
        <v>418</v>
      </c>
      <c r="Z775">
        <v>1</v>
      </c>
    </row>
    <row r="776" spans="1:26" x14ac:dyDescent="0.25">
      <c r="A776" t="str">
        <v>CENA MENU</v>
      </c>
      <c r="B776" t="str">
        <v>Callao</v>
      </c>
      <c r="C776">
        <v>18</v>
      </c>
      <c r="X776" t="s">
        <v>235</v>
      </c>
      <c r="Y776" t="s">
        <v>418</v>
      </c>
      <c r="Z776">
        <v>2</v>
      </c>
    </row>
    <row r="777" spans="1:26" x14ac:dyDescent="0.25">
      <c r="A777" t="str">
        <v>HOT DOG DE POLLO A GRANEL</v>
      </c>
      <c r="B777" t="str">
        <v>Callao</v>
      </c>
      <c r="C777">
        <v>1</v>
      </c>
      <c r="X777" t="s">
        <v>784</v>
      </c>
      <c r="Y777" t="s">
        <v>418</v>
      </c>
      <c r="Z777">
        <v>1</v>
      </c>
    </row>
    <row r="778" spans="1:26" x14ac:dyDescent="0.25">
      <c r="A778" t="str">
        <v>PI A DE GUAYAQUIL</v>
      </c>
      <c r="B778" t="str">
        <v>Callao</v>
      </c>
      <c r="C778">
        <v>2</v>
      </c>
      <c r="X778" t="s">
        <v>157</v>
      </c>
      <c r="Y778" t="s">
        <v>418</v>
      </c>
      <c r="Z778">
        <v>6</v>
      </c>
    </row>
    <row r="779" spans="1:26" x14ac:dyDescent="0.25">
      <c r="A779" t="str">
        <v>ACONDICIONADOR PARA CABELLO</v>
      </c>
      <c r="B779" t="str">
        <v>Callao</v>
      </c>
      <c r="C779">
        <v>1</v>
      </c>
      <c r="X779" t="s">
        <v>106</v>
      </c>
      <c r="Y779" t="s">
        <v>418</v>
      </c>
      <c r="Z779">
        <v>2</v>
      </c>
    </row>
    <row r="780" spans="1:26" x14ac:dyDescent="0.25">
      <c r="A780" t="str">
        <v>CACHEMA FRESCA</v>
      </c>
      <c r="B780" t="str">
        <v>Callao</v>
      </c>
      <c r="C780">
        <v>6</v>
      </c>
      <c r="X780" t="s">
        <v>785</v>
      </c>
      <c r="Y780" t="s">
        <v>418</v>
      </c>
      <c r="Z780">
        <v>1</v>
      </c>
    </row>
    <row r="781" spans="1:26" x14ac:dyDescent="0.25">
      <c r="A781" t="str">
        <v>AJO ENTERO SIN PELAR</v>
      </c>
      <c r="B781" t="str">
        <v>Callao</v>
      </c>
      <c r="C781">
        <v>2</v>
      </c>
      <c r="X781" t="s">
        <v>786</v>
      </c>
      <c r="Y781" t="s">
        <v>418</v>
      </c>
      <c r="Z781">
        <v>1</v>
      </c>
    </row>
    <row r="782" spans="1:26" x14ac:dyDescent="0.25">
      <c r="A782" t="str">
        <v>PERA DE AGUA</v>
      </c>
      <c r="B782" t="str">
        <v>Callao</v>
      </c>
      <c r="C782">
        <v>1</v>
      </c>
      <c r="X782" t="s">
        <v>100</v>
      </c>
      <c r="Y782" t="s">
        <v>418</v>
      </c>
      <c r="Z782">
        <v>22</v>
      </c>
    </row>
    <row r="783" spans="1:26" x14ac:dyDescent="0.25">
      <c r="A783" t="str">
        <v>MANGO KENT</v>
      </c>
      <c r="B783" t="str">
        <v>Callao</v>
      </c>
      <c r="C783">
        <v>1</v>
      </c>
      <c r="X783" t="s">
        <v>787</v>
      </c>
      <c r="Y783" t="s">
        <v>418</v>
      </c>
      <c r="Z783">
        <v>24</v>
      </c>
    </row>
    <row r="784" spans="1:26" x14ac:dyDescent="0.25">
      <c r="A784" t="str">
        <v>CARNE DE RES SIN HUESO</v>
      </c>
      <c r="B784" t="str">
        <v>Callao</v>
      </c>
      <c r="C784">
        <v>22</v>
      </c>
      <c r="X784" t="s">
        <v>171</v>
      </c>
      <c r="Y784" t="s">
        <v>418</v>
      </c>
      <c r="Z784">
        <v>6</v>
      </c>
    </row>
    <row r="785" spans="1:26" x14ac:dyDescent="0.25">
      <c r="A785" t="str">
        <v>BRAZUELO DE CABRITO</v>
      </c>
      <c r="B785" t="str">
        <v>Callao</v>
      </c>
      <c r="C785">
        <v>24</v>
      </c>
      <c r="X785" t="s">
        <v>177</v>
      </c>
      <c r="Y785" t="s">
        <v>418</v>
      </c>
      <c r="Z785">
        <v>5</v>
      </c>
    </row>
    <row r="786" spans="1:26" x14ac:dyDescent="0.25">
      <c r="A786" t="str">
        <v>PASAJE EN MOTOKAR</v>
      </c>
      <c r="B786" t="str">
        <v>Callao</v>
      </c>
      <c r="C786">
        <v>6</v>
      </c>
      <c r="X786" t="s">
        <v>242</v>
      </c>
      <c r="Y786" t="s">
        <v>418</v>
      </c>
      <c r="Z786">
        <v>3</v>
      </c>
    </row>
    <row r="787" spans="1:26" x14ac:dyDescent="0.25">
      <c r="A787" t="str">
        <v>MENUDENCIA DE POLLO</v>
      </c>
      <c r="B787" t="str">
        <v>Callao</v>
      </c>
      <c r="C787">
        <v>5</v>
      </c>
      <c r="X787" t="s">
        <v>60</v>
      </c>
      <c r="Y787" t="s">
        <v>418</v>
      </c>
      <c r="Z787">
        <v>20</v>
      </c>
    </row>
    <row r="788" spans="1:26" x14ac:dyDescent="0.25">
      <c r="A788" t="str">
        <v>YOGUR DE LECHE DE VACA ENVASADO</v>
      </c>
      <c r="B788" t="str">
        <v>Callao</v>
      </c>
      <c r="C788">
        <v>3</v>
      </c>
      <c r="X788" t="s">
        <v>788</v>
      </c>
      <c r="Y788" t="s">
        <v>418</v>
      </c>
      <c r="Z788">
        <v>1</v>
      </c>
    </row>
    <row r="789" spans="1:26" x14ac:dyDescent="0.25">
      <c r="A789" t="str">
        <v>POLLO EVISCERADO</v>
      </c>
      <c r="B789" t="str">
        <v>Callao</v>
      </c>
      <c r="C789">
        <v>20</v>
      </c>
      <c r="X789" t="s">
        <v>13</v>
      </c>
      <c r="Y789" t="s">
        <v>418</v>
      </c>
      <c r="Z789">
        <v>12</v>
      </c>
    </row>
    <row r="790" spans="1:26" x14ac:dyDescent="0.25">
      <c r="A790" t="str">
        <v>OLLUCO ENTERO</v>
      </c>
      <c r="B790" t="str">
        <v>Callao</v>
      </c>
      <c r="C790">
        <v>1</v>
      </c>
      <c r="X790" t="s">
        <v>776</v>
      </c>
      <c r="Y790" t="s">
        <v>418</v>
      </c>
      <c r="Z790">
        <v>5</v>
      </c>
    </row>
    <row r="791" spans="1:26" x14ac:dyDescent="0.25">
      <c r="A791" t="str">
        <v>AZUCAR RUBIA A GRANEL</v>
      </c>
      <c r="B791" t="str">
        <v>Callao</v>
      </c>
      <c r="C791">
        <v>12</v>
      </c>
      <c r="X791" t="s">
        <v>789</v>
      </c>
      <c r="Y791" t="s">
        <v>418</v>
      </c>
      <c r="Z791">
        <v>22</v>
      </c>
    </row>
    <row r="792" spans="1:26" x14ac:dyDescent="0.25">
      <c r="A792" t="str">
        <v>MORTADELA</v>
      </c>
      <c r="B792" t="str">
        <v>Callao</v>
      </c>
      <c r="C792">
        <v>5</v>
      </c>
      <c r="X792" t="s">
        <v>790</v>
      </c>
      <c r="Y792" t="s">
        <v>418</v>
      </c>
      <c r="Z792">
        <v>3</v>
      </c>
    </row>
    <row r="793" spans="1:26" x14ac:dyDescent="0.25">
      <c r="A793" t="str">
        <v>BRAZUELO DE CHANCHO</v>
      </c>
      <c r="B793" t="str">
        <v>Callao</v>
      </c>
      <c r="C793">
        <v>22</v>
      </c>
      <c r="X793" t="s">
        <v>236</v>
      </c>
      <c r="Y793" t="s">
        <v>418</v>
      </c>
      <c r="Z793">
        <v>1</v>
      </c>
    </row>
    <row r="794" spans="1:26" x14ac:dyDescent="0.25">
      <c r="A794" t="str">
        <v>CREMA PARA VERRUGAS</v>
      </c>
      <c r="B794" t="str">
        <v>Callao</v>
      </c>
      <c r="C794">
        <v>3</v>
      </c>
      <c r="X794" t="s">
        <v>791</v>
      </c>
      <c r="Y794" t="s">
        <v>418</v>
      </c>
      <c r="Z794">
        <v>0</v>
      </c>
    </row>
    <row r="795" spans="1:26" x14ac:dyDescent="0.25">
      <c r="A795" t="str">
        <v>VERDURA PICADA PARA SOPA</v>
      </c>
      <c r="B795" t="str">
        <v>Callao</v>
      </c>
      <c r="C795">
        <v>1</v>
      </c>
      <c r="X795" t="s">
        <v>792</v>
      </c>
      <c r="Y795" t="s">
        <v>418</v>
      </c>
      <c r="Z795">
        <v>3</v>
      </c>
    </row>
    <row r="796" spans="1:26" x14ac:dyDescent="0.25">
      <c r="A796" t="str">
        <v>BOLO</v>
      </c>
      <c r="B796" t="str">
        <v>Callao</v>
      </c>
      <c r="C796">
        <v>0</v>
      </c>
      <c r="X796" t="s">
        <v>119</v>
      </c>
      <c r="Y796" t="s">
        <v>418</v>
      </c>
      <c r="Z796">
        <v>3</v>
      </c>
    </row>
    <row r="797" spans="1:26" x14ac:dyDescent="0.25">
      <c r="A797" t="str">
        <v>HUESO DE RES</v>
      </c>
      <c r="B797" t="str">
        <v>Callao</v>
      </c>
      <c r="C797">
        <v>3</v>
      </c>
      <c r="X797" t="s">
        <v>793</v>
      </c>
      <c r="Y797" t="s">
        <v>418</v>
      </c>
      <c r="Z797">
        <v>0</v>
      </c>
    </row>
    <row r="798" spans="1:26" x14ac:dyDescent="0.25">
      <c r="A798" t="str">
        <v>PASAJE COLECTIVO</v>
      </c>
      <c r="B798" t="str">
        <v>Callao</v>
      </c>
      <c r="C798">
        <v>3</v>
      </c>
      <c r="X798" t="s">
        <v>209</v>
      </c>
      <c r="Y798" t="s">
        <v>418</v>
      </c>
      <c r="Z798">
        <v>6</v>
      </c>
    </row>
    <row r="799" spans="1:26" x14ac:dyDescent="0.25">
      <c r="A799" t="str">
        <v>SUSTANCIA DE CALDO EN CUBITOS</v>
      </c>
      <c r="B799" t="str">
        <v>Callao</v>
      </c>
      <c r="C799">
        <v>0</v>
      </c>
      <c r="X799" t="s">
        <v>794</v>
      </c>
      <c r="Y799" t="s">
        <v>418</v>
      </c>
      <c r="Z799">
        <v>0</v>
      </c>
    </row>
    <row r="800" spans="1:26" x14ac:dyDescent="0.25">
      <c r="A800" t="str">
        <v>SOPA AGUADITO</v>
      </c>
      <c r="B800" t="str">
        <v>Callao</v>
      </c>
      <c r="C800">
        <v>6</v>
      </c>
      <c r="X800" t="s">
        <v>119</v>
      </c>
      <c r="Y800" t="s">
        <v>418</v>
      </c>
      <c r="Z800">
        <v>6</v>
      </c>
    </row>
    <row r="801" spans="1:26" x14ac:dyDescent="0.25">
      <c r="A801" t="str">
        <v>AJO MOLIDO A GRANEL</v>
      </c>
      <c r="B801" t="str">
        <v>Callao</v>
      </c>
      <c r="C801">
        <v>0</v>
      </c>
      <c r="X801" t="s">
        <v>100</v>
      </c>
      <c r="Y801" t="s">
        <v>418</v>
      </c>
      <c r="Z801">
        <v>11</v>
      </c>
    </row>
    <row r="802" spans="1:26" x14ac:dyDescent="0.25">
      <c r="A802" t="str">
        <v>PASAJE COLECTIVO</v>
      </c>
      <c r="B802" t="str">
        <v>Callao</v>
      </c>
      <c r="C802">
        <v>6</v>
      </c>
      <c r="X802" t="s">
        <v>795</v>
      </c>
      <c r="Y802" t="s">
        <v>418</v>
      </c>
      <c r="Z802">
        <v>3</v>
      </c>
    </row>
    <row r="803" spans="1:26" x14ac:dyDescent="0.25">
      <c r="A803" t="str">
        <v>CARNE DE RES SIN HUESO</v>
      </c>
      <c r="B803" t="str">
        <v>Callao</v>
      </c>
      <c r="C803">
        <v>11</v>
      </c>
      <c r="X803" t="s">
        <v>796</v>
      </c>
      <c r="Y803" t="s">
        <v>418</v>
      </c>
      <c r="Z803">
        <v>0</v>
      </c>
    </row>
    <row r="804" spans="1:26" x14ac:dyDescent="0.25">
      <c r="A804" t="str">
        <v>GASEOSA NO RETORNABLE SERVIDA</v>
      </c>
      <c r="B804" t="str">
        <v>Callao</v>
      </c>
      <c r="C804">
        <v>3</v>
      </c>
      <c r="X804" t="s">
        <v>797</v>
      </c>
      <c r="Y804" t="s">
        <v>418</v>
      </c>
      <c r="Z804">
        <v>0</v>
      </c>
    </row>
    <row r="805" spans="1:26" x14ac:dyDescent="0.25">
      <c r="A805" t="str">
        <v>CEBOLLLA ROJA</v>
      </c>
      <c r="B805" t="str">
        <v>Callao</v>
      </c>
      <c r="C805">
        <v>0</v>
      </c>
      <c r="X805" t="s">
        <v>60</v>
      </c>
      <c r="Y805" t="s">
        <v>418</v>
      </c>
      <c r="Z805">
        <v>5</v>
      </c>
    </row>
    <row r="806" spans="1:26" x14ac:dyDescent="0.25">
      <c r="A806" t="str">
        <v>GALLETAS RELLENAS</v>
      </c>
      <c r="B806" t="str">
        <v>Callao</v>
      </c>
      <c r="C806">
        <v>0</v>
      </c>
      <c r="X806" t="s">
        <v>798</v>
      </c>
      <c r="Y806" t="s">
        <v>418</v>
      </c>
      <c r="Z806">
        <v>1</v>
      </c>
    </row>
    <row r="807" spans="1:26" x14ac:dyDescent="0.25">
      <c r="A807" t="str">
        <v>POLLO EVISCERADO</v>
      </c>
      <c r="B807" t="str">
        <v>Callao</v>
      </c>
      <c r="C807">
        <v>5</v>
      </c>
      <c r="X807" t="s">
        <v>799</v>
      </c>
      <c r="Y807" t="s">
        <v>418</v>
      </c>
      <c r="Z807">
        <v>1</v>
      </c>
    </row>
    <row r="808" spans="1:26" x14ac:dyDescent="0.25">
      <c r="A808" t="str">
        <v>AGUA DE CEBADA SERVIDA</v>
      </c>
      <c r="B808" t="str">
        <v>Callao</v>
      </c>
      <c r="C808">
        <v>1</v>
      </c>
      <c r="X808" t="s">
        <v>652</v>
      </c>
      <c r="Y808" t="s">
        <v>418</v>
      </c>
      <c r="Z808">
        <v>1</v>
      </c>
    </row>
    <row r="809" spans="1:26" x14ac:dyDescent="0.25">
      <c r="A809" t="str">
        <v>AZUCAR RUBIA AGRANEL</v>
      </c>
      <c r="B809" t="str">
        <v>Callao</v>
      </c>
      <c r="C809">
        <v>1</v>
      </c>
      <c r="X809" t="s">
        <v>800</v>
      </c>
      <c r="Y809" t="s">
        <v>418</v>
      </c>
      <c r="Z809">
        <v>0</v>
      </c>
    </row>
    <row r="810" spans="1:26" x14ac:dyDescent="0.25">
      <c r="A810" t="str">
        <v>ARVERJA VERDE PARTIDA</v>
      </c>
      <c r="B810" t="str">
        <v>Callao</v>
      </c>
      <c r="C810">
        <v>1</v>
      </c>
      <c r="X810" t="s">
        <v>209</v>
      </c>
      <c r="Y810" t="s">
        <v>418</v>
      </c>
      <c r="Z810">
        <v>3</v>
      </c>
    </row>
    <row r="811" spans="1:26" x14ac:dyDescent="0.25">
      <c r="A811" t="str">
        <v>VINAGRE TINTO</v>
      </c>
      <c r="B811" t="str">
        <v>Callao</v>
      </c>
      <c r="C811">
        <v>0</v>
      </c>
      <c r="X811" t="s">
        <v>801</v>
      </c>
      <c r="Y811" t="s">
        <v>418</v>
      </c>
      <c r="Z811">
        <v>1</v>
      </c>
    </row>
    <row r="812" spans="1:26" x14ac:dyDescent="0.25">
      <c r="A812" t="str">
        <v>SOPA AGUADITO</v>
      </c>
      <c r="B812" t="str">
        <v>Callao</v>
      </c>
      <c r="C812">
        <v>3</v>
      </c>
      <c r="X812" t="s">
        <v>802</v>
      </c>
      <c r="Y812" t="s">
        <v>418</v>
      </c>
      <c r="Z812">
        <v>6</v>
      </c>
    </row>
    <row r="813" spans="1:26" x14ac:dyDescent="0.25">
      <c r="A813" t="str">
        <v>MARGARINA ENVASADA SIN SAL</v>
      </c>
      <c r="B813" t="str">
        <v>Callao</v>
      </c>
      <c r="C813">
        <v>1</v>
      </c>
      <c r="X813" t="s">
        <v>803</v>
      </c>
      <c r="Y813" t="s">
        <v>418</v>
      </c>
      <c r="Z813">
        <v>6</v>
      </c>
    </row>
    <row r="814" spans="1:26" x14ac:dyDescent="0.25">
      <c r="A814" t="str">
        <v>PASTILLA PARA LA DIABETES</v>
      </c>
      <c r="B814" t="str">
        <v>Callao</v>
      </c>
      <c r="C814">
        <v>6</v>
      </c>
      <c r="X814" t="s">
        <v>804</v>
      </c>
      <c r="Y814" t="s">
        <v>418</v>
      </c>
      <c r="Z814">
        <v>0</v>
      </c>
    </row>
    <row r="815" spans="1:26" x14ac:dyDescent="0.25">
      <c r="A815" t="str">
        <v>PASTILLA PARA LA PRESION</v>
      </c>
      <c r="B815" t="str">
        <v>Callao</v>
      </c>
      <c r="C815">
        <v>6</v>
      </c>
      <c r="X815" t="s">
        <v>805</v>
      </c>
      <c r="Y815" t="s">
        <v>418</v>
      </c>
      <c r="Z815">
        <v>1</v>
      </c>
    </row>
    <row r="816" spans="1:26" x14ac:dyDescent="0.25">
      <c r="A816" t="str">
        <v>TE DE JAZMIN FILTRANTE</v>
      </c>
      <c r="B816" t="str">
        <v>Callao</v>
      </c>
      <c r="C816">
        <v>0</v>
      </c>
      <c r="X816" t="s">
        <v>150</v>
      </c>
      <c r="Y816" t="s">
        <v>418</v>
      </c>
      <c r="Z816">
        <v>4</v>
      </c>
    </row>
    <row r="817" spans="1:26" x14ac:dyDescent="0.25">
      <c r="A817" t="str">
        <v>CAFE INSTANTANIO ENVASADO</v>
      </c>
      <c r="B817" t="str">
        <v>Callao</v>
      </c>
      <c r="C817">
        <v>1</v>
      </c>
      <c r="X817" t="s">
        <v>61</v>
      </c>
      <c r="Y817" t="s">
        <v>418</v>
      </c>
      <c r="Z817">
        <v>0</v>
      </c>
    </row>
    <row r="818" spans="1:26" x14ac:dyDescent="0.25">
      <c r="A818" t="str">
        <v>BONITO FRESCO</v>
      </c>
      <c r="B818" t="str">
        <v>Callao</v>
      </c>
      <c r="C818">
        <v>4</v>
      </c>
      <c r="X818" t="s">
        <v>806</v>
      </c>
      <c r="Y818" t="s">
        <v>418</v>
      </c>
      <c r="Z818">
        <v>0</v>
      </c>
    </row>
    <row r="819" spans="1:26" x14ac:dyDescent="0.25">
      <c r="A819" t="str">
        <v>LECHUGA CRIOLLA</v>
      </c>
      <c r="B819" t="str">
        <v>Callao</v>
      </c>
      <c r="C819">
        <v>0</v>
      </c>
      <c r="X819" t="s">
        <v>807</v>
      </c>
      <c r="Y819" t="s">
        <v>418</v>
      </c>
      <c r="Z819">
        <v>4</v>
      </c>
    </row>
    <row r="820" spans="1:26" x14ac:dyDescent="0.25">
      <c r="A820" t="str">
        <v>OREGANO SECO EN POLVO A GRANEL</v>
      </c>
      <c r="B820" t="str">
        <v>Callao</v>
      </c>
      <c r="C820">
        <v>0</v>
      </c>
      <c r="X820" t="s">
        <v>808</v>
      </c>
      <c r="Y820" t="s">
        <v>418</v>
      </c>
      <c r="Z820">
        <v>1</v>
      </c>
    </row>
    <row r="821" spans="1:26" x14ac:dyDescent="0.25">
      <c r="A821" t="str">
        <v>PASAJE EN MOTOCAR</v>
      </c>
      <c r="B821" t="str">
        <v>Callao</v>
      </c>
      <c r="C821">
        <v>4</v>
      </c>
      <c r="X821" t="s">
        <v>809</v>
      </c>
      <c r="Y821" t="s">
        <v>418</v>
      </c>
      <c r="Z821">
        <v>2</v>
      </c>
    </row>
    <row r="822" spans="1:26" x14ac:dyDescent="0.25">
      <c r="A822" t="str">
        <v>PAPA RELLENA SERVIDA</v>
      </c>
      <c r="B822" t="str">
        <v>Callao</v>
      </c>
      <c r="C822">
        <v>1</v>
      </c>
      <c r="X822" t="s">
        <v>810</v>
      </c>
      <c r="Y822" t="s">
        <v>418</v>
      </c>
      <c r="Z822">
        <v>2</v>
      </c>
    </row>
    <row r="823" spans="1:26" x14ac:dyDescent="0.25">
      <c r="A823" t="str">
        <v>RELLENO DE CHANCHO</v>
      </c>
      <c r="B823" t="str">
        <v>Callao</v>
      </c>
      <c r="C823">
        <v>2</v>
      </c>
      <c r="X823" t="s">
        <v>19</v>
      </c>
      <c r="Y823" t="s">
        <v>418</v>
      </c>
      <c r="Z823">
        <v>8</v>
      </c>
    </row>
    <row r="824" spans="1:26" x14ac:dyDescent="0.25">
      <c r="A824" t="str">
        <v>GRATE DE ATUN</v>
      </c>
      <c r="B824" t="str">
        <v>Callao</v>
      </c>
      <c r="C824">
        <v>2</v>
      </c>
      <c r="X824" t="s">
        <v>242</v>
      </c>
      <c r="Y824" t="s">
        <v>418</v>
      </c>
      <c r="Z824">
        <v>6</v>
      </c>
    </row>
    <row r="825" spans="1:26" x14ac:dyDescent="0.25">
      <c r="A825" t="str">
        <v>QUESO FRESCO VACA</v>
      </c>
      <c r="B825" t="str">
        <v>Callao</v>
      </c>
      <c r="C825">
        <v>8</v>
      </c>
      <c r="X825" t="s">
        <v>811</v>
      </c>
      <c r="Y825" t="s">
        <v>418</v>
      </c>
      <c r="Z825">
        <v>2</v>
      </c>
    </row>
    <row r="826" spans="1:26" x14ac:dyDescent="0.25">
      <c r="A826" t="str">
        <v>YOGUR DE LECHE DE VACA ENVASADO</v>
      </c>
      <c r="B826" t="str">
        <v>Callao</v>
      </c>
      <c r="C826">
        <v>6</v>
      </c>
      <c r="X826" t="s">
        <v>91</v>
      </c>
      <c r="Y826" t="s">
        <v>418</v>
      </c>
      <c r="Z826">
        <v>4</v>
      </c>
    </row>
    <row r="827" spans="1:26" x14ac:dyDescent="0.25">
      <c r="A827" t="str">
        <v>EUCALIPTO</v>
      </c>
      <c r="B827" t="str">
        <v>Callao</v>
      </c>
      <c r="C827">
        <v>2</v>
      </c>
      <c r="X827" t="s">
        <v>169</v>
      </c>
      <c r="Y827" t="s">
        <v>418</v>
      </c>
      <c r="Z827">
        <v>2</v>
      </c>
    </row>
    <row r="828" spans="1:26" x14ac:dyDescent="0.25">
      <c r="A828" t="str">
        <v>MELON</v>
      </c>
      <c r="B828" t="str">
        <v>Callao</v>
      </c>
      <c r="C828">
        <v>4</v>
      </c>
      <c r="X828" t="s">
        <v>809</v>
      </c>
      <c r="Y828" t="s">
        <v>418</v>
      </c>
      <c r="Z828">
        <v>5</v>
      </c>
    </row>
    <row r="829" spans="1:26" x14ac:dyDescent="0.25">
      <c r="A829" t="str">
        <v>GELATINA A GRANEL</v>
      </c>
      <c r="B829" t="str">
        <v>Callao</v>
      </c>
      <c r="C829">
        <v>2</v>
      </c>
      <c r="X829" t="s">
        <v>60</v>
      </c>
      <c r="Y829" t="s">
        <v>418</v>
      </c>
      <c r="Z829">
        <v>7</v>
      </c>
    </row>
    <row r="830" spans="1:26" x14ac:dyDescent="0.25">
      <c r="A830" t="str">
        <v>RELLENO DE CHANCHO</v>
      </c>
      <c r="B830" t="str">
        <v>Callao</v>
      </c>
      <c r="C830">
        <v>5</v>
      </c>
      <c r="X830" t="s">
        <v>808</v>
      </c>
      <c r="Y830" t="s">
        <v>418</v>
      </c>
      <c r="Z830">
        <v>3</v>
      </c>
    </row>
    <row r="831" spans="1:26" x14ac:dyDescent="0.25">
      <c r="A831" t="str">
        <v>POLLO EVISCERADO</v>
      </c>
      <c r="B831" t="str">
        <v>Callao</v>
      </c>
      <c r="C831">
        <v>7</v>
      </c>
      <c r="X831" t="s">
        <v>812</v>
      </c>
      <c r="Y831" t="s">
        <v>418</v>
      </c>
      <c r="Z831">
        <v>0</v>
      </c>
    </row>
    <row r="832" spans="1:26" x14ac:dyDescent="0.25">
      <c r="A832" t="str">
        <v>PAPA RELLENA SERVIDA</v>
      </c>
      <c r="B832" t="str">
        <v>Callao</v>
      </c>
      <c r="C832">
        <v>3</v>
      </c>
      <c r="X832" t="s">
        <v>808</v>
      </c>
      <c r="Y832" t="s">
        <v>418</v>
      </c>
      <c r="Z832">
        <v>2</v>
      </c>
    </row>
    <row r="833" spans="1:26" x14ac:dyDescent="0.25">
      <c r="A833" t="str">
        <v>PIMIENTA ENTERA ENVASADA</v>
      </c>
      <c r="B833" t="str">
        <v>Callao</v>
      </c>
      <c r="C833">
        <v>0</v>
      </c>
      <c r="X833" t="s">
        <v>17</v>
      </c>
      <c r="Y833" t="s">
        <v>418</v>
      </c>
      <c r="Z833">
        <v>5</v>
      </c>
    </row>
    <row r="834" spans="1:26" x14ac:dyDescent="0.25">
      <c r="A834" t="str">
        <v>PAPA RELLENA SERVIDA</v>
      </c>
      <c r="B834" t="str">
        <v>Callao</v>
      </c>
      <c r="C834">
        <v>2</v>
      </c>
      <c r="X834" t="s">
        <v>813</v>
      </c>
      <c r="Y834" t="s">
        <v>418</v>
      </c>
      <c r="Z834">
        <v>1</v>
      </c>
    </row>
    <row r="835" spans="1:26" x14ac:dyDescent="0.25">
      <c r="A835" t="str">
        <v>UVA NEGRA</v>
      </c>
      <c r="B835" t="str">
        <v>Callao</v>
      </c>
      <c r="C835">
        <v>5</v>
      </c>
      <c r="X835" t="s">
        <v>814</v>
      </c>
      <c r="Y835" t="s">
        <v>418</v>
      </c>
      <c r="Z835">
        <v>15</v>
      </c>
    </row>
    <row r="836" spans="1:26" x14ac:dyDescent="0.25">
      <c r="A836" t="str">
        <v>RASPADILLA</v>
      </c>
      <c r="B836" t="str">
        <v>Callao</v>
      </c>
      <c r="C836">
        <v>1</v>
      </c>
      <c r="X836" t="s">
        <v>815</v>
      </c>
      <c r="Y836" t="s">
        <v>418</v>
      </c>
      <c r="Z836">
        <v>10</v>
      </c>
    </row>
    <row r="837" spans="1:26" x14ac:dyDescent="0.25">
      <c r="A837" t="str">
        <v>ARROZ CON SECO DE POLLO Y MARACUYA</v>
      </c>
      <c r="B837" t="str">
        <v>Callao</v>
      </c>
      <c r="C837">
        <v>15</v>
      </c>
      <c r="X837" t="s">
        <v>816</v>
      </c>
      <c r="Y837" t="s">
        <v>418</v>
      </c>
      <c r="Z837">
        <v>15</v>
      </c>
    </row>
    <row r="838" spans="1:26" x14ac:dyDescent="0.25">
      <c r="A838" t="str">
        <v>POLO DE VESTIR HOMBRE</v>
      </c>
      <c r="B838" t="str">
        <v>Callao</v>
      </c>
      <c r="C838">
        <v>10</v>
      </c>
      <c r="X838" t="s">
        <v>817</v>
      </c>
      <c r="Y838" t="s">
        <v>418</v>
      </c>
      <c r="Z838">
        <v>15</v>
      </c>
    </row>
    <row r="839" spans="1:26" x14ac:dyDescent="0.25">
      <c r="A839" t="str">
        <v>ARROZ CON FREJOLES ESTOFADO DE POLLO Y LIMONADA</v>
      </c>
      <c r="B839" t="str">
        <v>Callao</v>
      </c>
      <c r="C839">
        <v>15</v>
      </c>
      <c r="X839" t="s">
        <v>818</v>
      </c>
      <c r="Y839" t="s">
        <v>418</v>
      </c>
      <c r="Z839">
        <v>14</v>
      </c>
    </row>
    <row r="840" spans="1:26" x14ac:dyDescent="0.25">
      <c r="A840" t="str">
        <v>ARROZ CON SANGUITO DE CONCHAS</v>
      </c>
      <c r="B840" t="str">
        <v>Callao</v>
      </c>
      <c r="C840">
        <v>15</v>
      </c>
      <c r="X840" t="s">
        <v>226</v>
      </c>
      <c r="Y840" t="s">
        <v>418</v>
      </c>
      <c r="Z840">
        <v>3</v>
      </c>
    </row>
    <row r="841" spans="1:26" x14ac:dyDescent="0.25">
      <c r="A841" t="str">
        <v>BISTEC DE RES</v>
      </c>
      <c r="B841" t="str">
        <v>Callao</v>
      </c>
      <c r="C841">
        <v>14</v>
      </c>
      <c r="X841" t="s">
        <v>198</v>
      </c>
      <c r="Y841" t="s">
        <v>418</v>
      </c>
      <c r="Z841">
        <v>10</v>
      </c>
    </row>
    <row r="842" spans="1:26" x14ac:dyDescent="0.25">
      <c r="A842" t="str">
        <v>DETERGENTE EN POLVO ENVASADO</v>
      </c>
      <c r="B842" t="str">
        <v>Callao</v>
      </c>
      <c r="C842">
        <v>3</v>
      </c>
      <c r="X842" t="s">
        <v>800</v>
      </c>
      <c r="Y842" t="s">
        <v>418</v>
      </c>
      <c r="Z842">
        <v>1</v>
      </c>
    </row>
    <row r="843" spans="1:26" x14ac:dyDescent="0.25">
      <c r="A843" t="str">
        <v>POLLO ENTERO EVISCERADO</v>
      </c>
      <c r="B843" t="str">
        <v>Callao</v>
      </c>
      <c r="C843">
        <v>10</v>
      </c>
      <c r="X843" t="s">
        <v>819</v>
      </c>
      <c r="Y843" t="s">
        <v>418</v>
      </c>
      <c r="Z843">
        <v>0</v>
      </c>
    </row>
    <row r="844" spans="1:26" x14ac:dyDescent="0.25">
      <c r="A844" t="str">
        <v>VINAGRE TINTO</v>
      </c>
      <c r="B844" t="str">
        <v>Callao</v>
      </c>
      <c r="C844">
        <v>1</v>
      </c>
      <c r="X844" t="s">
        <v>820</v>
      </c>
      <c r="Y844" t="s">
        <v>418</v>
      </c>
      <c r="Z844">
        <v>20</v>
      </c>
    </row>
    <row r="845" spans="1:26" x14ac:dyDescent="0.25">
      <c r="A845" t="str">
        <v>PIMIENTA MOLIDA A GRANEL</v>
      </c>
      <c r="B845" t="str">
        <v>Callao</v>
      </c>
      <c r="C845">
        <v>0</v>
      </c>
      <c r="X845" t="s">
        <v>695</v>
      </c>
      <c r="Y845" t="s">
        <v>418</v>
      </c>
      <c r="Z845">
        <v>5</v>
      </c>
    </row>
    <row r="846" spans="1:26" x14ac:dyDescent="0.25">
      <c r="A846" t="str">
        <v>LOMO SALTADO</v>
      </c>
      <c r="B846" t="str">
        <v>Callao</v>
      </c>
      <c r="C846">
        <v>20</v>
      </c>
      <c r="X846" t="s">
        <v>777</v>
      </c>
      <c r="Y846" t="s">
        <v>418</v>
      </c>
      <c r="Z846">
        <v>5</v>
      </c>
    </row>
    <row r="847" spans="1:26" x14ac:dyDescent="0.25">
      <c r="A847" t="str">
        <v>MISTURIADO SERVIDO</v>
      </c>
      <c r="B847" t="str">
        <v>Callao</v>
      </c>
      <c r="C847">
        <v>5</v>
      </c>
      <c r="X847" t="s">
        <v>33</v>
      </c>
      <c r="Y847" t="s">
        <v>418</v>
      </c>
      <c r="Z847">
        <v>1</v>
      </c>
    </row>
    <row r="848" spans="1:26" x14ac:dyDescent="0.25">
      <c r="A848" t="str">
        <v>ARROZ CON TOLLITO</v>
      </c>
      <c r="B848" t="str">
        <v>Callao</v>
      </c>
      <c r="C848">
        <v>5</v>
      </c>
      <c r="X848" t="s">
        <v>821</v>
      </c>
      <c r="Y848" t="s">
        <v>418</v>
      </c>
      <c r="Z848">
        <v>16</v>
      </c>
    </row>
    <row r="849" spans="1:26" x14ac:dyDescent="0.25">
      <c r="A849" t="str">
        <v>MANGO DE PLANTA</v>
      </c>
      <c r="B849" t="str">
        <v>Callao</v>
      </c>
      <c r="C849">
        <v>1</v>
      </c>
      <c r="X849" t="s">
        <v>822</v>
      </c>
      <c r="Y849" t="s">
        <v>418</v>
      </c>
      <c r="Z849">
        <v>1</v>
      </c>
    </row>
    <row r="850" spans="1:26" x14ac:dyDescent="0.25">
      <c r="A850" t="str">
        <v>TOLLO DE LECHE EVISCERADO</v>
      </c>
      <c r="B850" t="str">
        <v>Callao</v>
      </c>
      <c r="C850">
        <v>16</v>
      </c>
      <c r="X850" t="s">
        <v>198</v>
      </c>
      <c r="Y850" t="s">
        <v>418</v>
      </c>
      <c r="Z850">
        <v>4</v>
      </c>
    </row>
    <row r="851" spans="1:26" x14ac:dyDescent="0.25">
      <c r="A851" t="str">
        <v>MAIZ BLANCO CORRIENTE CANCHA</v>
      </c>
      <c r="B851" t="str">
        <v>Callao</v>
      </c>
      <c r="C851">
        <v>1</v>
      </c>
      <c r="X851" t="s">
        <v>70</v>
      </c>
      <c r="Y851" t="s">
        <v>418</v>
      </c>
      <c r="Z851">
        <v>32</v>
      </c>
    </row>
    <row r="852" spans="1:26" x14ac:dyDescent="0.25">
      <c r="A852" t="str">
        <v>POLLO ENTERO EVISCERADO</v>
      </c>
      <c r="B852" t="str">
        <v>Callao</v>
      </c>
      <c r="C852">
        <v>4</v>
      </c>
      <c r="X852" t="s">
        <v>823</v>
      </c>
      <c r="Y852" t="s">
        <v>418</v>
      </c>
      <c r="Z852">
        <v>15</v>
      </c>
    </row>
    <row r="853" spans="1:26" x14ac:dyDescent="0.25">
      <c r="A853" t="str">
        <v>ALMUERZO MENU</v>
      </c>
      <c r="B853" t="str">
        <v>Callao</v>
      </c>
      <c r="C853">
        <v>32</v>
      </c>
      <c r="X853" t="s">
        <v>221</v>
      </c>
      <c r="Y853" t="s">
        <v>418</v>
      </c>
      <c r="Z853">
        <v>3</v>
      </c>
    </row>
    <row r="854" spans="1:26" x14ac:dyDescent="0.25">
      <c r="A854" t="str">
        <v>ARROZ CON CHANCHO</v>
      </c>
      <c r="B854" t="str">
        <v>Callao</v>
      </c>
      <c r="C854">
        <v>15</v>
      </c>
      <c r="X854" t="s">
        <v>150</v>
      </c>
      <c r="Y854" t="s">
        <v>418</v>
      </c>
      <c r="Z854">
        <v>12</v>
      </c>
    </row>
    <row r="855" spans="1:26" x14ac:dyDescent="0.25">
      <c r="A855" t="str">
        <v>JUGO DE FRUTAS LICUADO SERVIDO</v>
      </c>
      <c r="B855" t="str">
        <v>Callao</v>
      </c>
      <c r="C855">
        <v>3</v>
      </c>
      <c r="X855" t="s">
        <v>707</v>
      </c>
      <c r="Y855" t="s">
        <v>418</v>
      </c>
      <c r="Z855">
        <v>7</v>
      </c>
    </row>
    <row r="856" spans="1:26" x14ac:dyDescent="0.25">
      <c r="A856" t="str">
        <v>BONITO FRESCO</v>
      </c>
      <c r="B856" t="str">
        <v>Callao</v>
      </c>
      <c r="C856">
        <v>12</v>
      </c>
      <c r="X856" t="s">
        <v>824</v>
      </c>
      <c r="Y856" t="s">
        <v>418</v>
      </c>
      <c r="Z856">
        <v>0</v>
      </c>
    </row>
    <row r="857" spans="1:26" x14ac:dyDescent="0.25">
      <c r="A857" t="str">
        <v>CALDO DE GALLINA</v>
      </c>
      <c r="B857" t="str">
        <v>Callao</v>
      </c>
      <c r="C857">
        <v>7</v>
      </c>
      <c r="X857" t="s">
        <v>825</v>
      </c>
      <c r="Y857" t="s">
        <v>418</v>
      </c>
      <c r="Z857">
        <v>2</v>
      </c>
    </row>
    <row r="858" spans="1:26" x14ac:dyDescent="0.25">
      <c r="A858" t="str">
        <v>CARAMELOS DUROS ENVASADO</v>
      </c>
      <c r="B858" t="str">
        <v>Callao</v>
      </c>
      <c r="C858">
        <v>0</v>
      </c>
      <c r="X858" t="s">
        <v>124</v>
      </c>
      <c r="Y858" t="s">
        <v>418</v>
      </c>
      <c r="Z858">
        <v>2</v>
      </c>
    </row>
    <row r="859" spans="1:26" x14ac:dyDescent="0.25">
      <c r="A859" t="str">
        <v>PASTILLA PARA LA INFECCION DE GARGANTA</v>
      </c>
      <c r="B859" t="str">
        <v>Callao</v>
      </c>
      <c r="C859">
        <v>2</v>
      </c>
      <c r="X859" t="s">
        <v>71</v>
      </c>
      <c r="Y859" t="s">
        <v>418</v>
      </c>
      <c r="Z859">
        <v>3</v>
      </c>
    </row>
    <row r="860" spans="1:26" x14ac:dyDescent="0.25">
      <c r="A860" t="str">
        <v>PERIODICO</v>
      </c>
      <c r="B860" t="str">
        <v>Callao</v>
      </c>
      <c r="C860">
        <v>2</v>
      </c>
      <c r="X860" t="s">
        <v>223</v>
      </c>
      <c r="Y860" t="s">
        <v>418</v>
      </c>
      <c r="Z860">
        <v>1</v>
      </c>
    </row>
    <row r="861" spans="1:26" x14ac:dyDescent="0.25">
      <c r="A861" t="str">
        <v>PASAJE EN MOTOTAXI</v>
      </c>
      <c r="B861" t="str">
        <v>Callao</v>
      </c>
      <c r="C861">
        <v>3</v>
      </c>
      <c r="X861" t="s">
        <v>826</v>
      </c>
      <c r="Y861" t="s">
        <v>418</v>
      </c>
      <c r="Z861">
        <v>320</v>
      </c>
    </row>
    <row r="862" spans="1:26" x14ac:dyDescent="0.25">
      <c r="A862" t="str">
        <v>PASAJE AUTO</v>
      </c>
      <c r="B862" t="str">
        <v>Callao</v>
      </c>
      <c r="C862">
        <v>1</v>
      </c>
      <c r="X862" t="s">
        <v>827</v>
      </c>
      <c r="Y862" t="s">
        <v>418</v>
      </c>
      <c r="Z862">
        <v>280</v>
      </c>
    </row>
    <row r="863" spans="1:26" x14ac:dyDescent="0.25">
      <c r="A863" t="str">
        <v>TABLET</v>
      </c>
      <c r="B863" t="str">
        <v>Callao</v>
      </c>
      <c r="C863">
        <v>320</v>
      </c>
      <c r="X863" t="s">
        <v>242</v>
      </c>
      <c r="Y863" t="s">
        <v>418</v>
      </c>
      <c r="Z863">
        <v>4</v>
      </c>
    </row>
    <row r="864" spans="1:26" x14ac:dyDescent="0.25">
      <c r="A864" t="str">
        <v>EQUIPO DE TELEFONO CELULAR</v>
      </c>
      <c r="B864" t="str">
        <v>Callao</v>
      </c>
      <c r="C864">
        <v>280</v>
      </c>
      <c r="X864" t="s">
        <v>224</v>
      </c>
      <c r="Y864" t="s">
        <v>418</v>
      </c>
      <c r="Z864">
        <v>10</v>
      </c>
    </row>
    <row r="865" spans="1:26" x14ac:dyDescent="0.25">
      <c r="A865" t="str">
        <v>YOGUR DE LECHE DE VACA ENVASADO</v>
      </c>
      <c r="B865" t="str">
        <v>Callao</v>
      </c>
      <c r="C865">
        <v>4</v>
      </c>
      <c r="X865" t="s">
        <v>828</v>
      </c>
      <c r="Y865" t="s">
        <v>418</v>
      </c>
      <c r="Z865">
        <v>85</v>
      </c>
    </row>
    <row r="866" spans="1:26" x14ac:dyDescent="0.25">
      <c r="A866" t="str">
        <v>MENU DE DESAYUNO</v>
      </c>
      <c r="B866" t="str">
        <v>Callao</v>
      </c>
      <c r="C866">
        <v>10</v>
      </c>
      <c r="X866" t="s">
        <v>829</v>
      </c>
      <c r="Y866" t="s">
        <v>418</v>
      </c>
      <c r="Z866">
        <v>45</v>
      </c>
    </row>
    <row r="867" spans="1:26" x14ac:dyDescent="0.25">
      <c r="A867" t="str">
        <v>PANETON</v>
      </c>
      <c r="B867" t="str">
        <v>Callao</v>
      </c>
      <c r="C867">
        <v>85</v>
      </c>
      <c r="X867" t="s">
        <v>830</v>
      </c>
      <c r="Y867" t="s">
        <v>418</v>
      </c>
      <c r="Z867">
        <v>10</v>
      </c>
    </row>
    <row r="868" spans="1:26" x14ac:dyDescent="0.25">
      <c r="A868" t="str">
        <v>POLLO EVISCERADO ENTERO</v>
      </c>
      <c r="B868" t="str">
        <v>Callao</v>
      </c>
      <c r="C868">
        <v>45</v>
      </c>
      <c r="X868" t="s">
        <v>741</v>
      </c>
      <c r="Y868" t="s">
        <v>418</v>
      </c>
      <c r="Z868">
        <v>9</v>
      </c>
    </row>
    <row r="869" spans="1:26" x14ac:dyDescent="0.25">
      <c r="A869" t="str">
        <v>CACAO A GRANEL</v>
      </c>
      <c r="B869" t="str">
        <v>Callao</v>
      </c>
      <c r="C869">
        <v>10</v>
      </c>
      <c r="X869" t="s">
        <v>103</v>
      </c>
      <c r="Y869" t="s">
        <v>418</v>
      </c>
      <c r="Z869">
        <v>2</v>
      </c>
    </row>
    <row r="870" spans="1:26" x14ac:dyDescent="0.25">
      <c r="A870" t="str">
        <v>ARROZ SUPERIOR A GRANEL</v>
      </c>
      <c r="B870" t="str">
        <v>Callao</v>
      </c>
      <c r="C870">
        <v>9</v>
      </c>
      <c r="X870" t="s">
        <v>151</v>
      </c>
      <c r="Y870" t="s">
        <v>418</v>
      </c>
      <c r="Z870">
        <v>3</v>
      </c>
    </row>
    <row r="871" spans="1:26" x14ac:dyDescent="0.25">
      <c r="A871" t="str">
        <v>CANELA ENTERA A GRANEL</v>
      </c>
      <c r="B871" t="str">
        <v>Callao</v>
      </c>
      <c r="C871">
        <v>2</v>
      </c>
      <c r="X871" t="s">
        <v>115</v>
      </c>
      <c r="Y871" t="s">
        <v>418</v>
      </c>
      <c r="Z871">
        <v>15</v>
      </c>
    </row>
    <row r="872" spans="1:26" x14ac:dyDescent="0.25">
      <c r="A872" t="str">
        <v>ARVERJA VERDE CRIOLLA CON VAINA</v>
      </c>
      <c r="B872" t="str">
        <v>Callao</v>
      </c>
      <c r="C872">
        <v>3</v>
      </c>
      <c r="X872" t="s">
        <v>831</v>
      </c>
      <c r="Y872" t="s">
        <v>418</v>
      </c>
      <c r="Z872">
        <v>5</v>
      </c>
    </row>
    <row r="873" spans="1:26" x14ac:dyDescent="0.25">
      <c r="A873" t="str">
        <v>PLATO DESCARTABLE</v>
      </c>
      <c r="B873" t="str">
        <v>Callao</v>
      </c>
      <c r="C873">
        <v>15</v>
      </c>
      <c r="X873" t="s">
        <v>832</v>
      </c>
      <c r="Y873" t="s">
        <v>418</v>
      </c>
      <c r="Z873">
        <v>3</v>
      </c>
    </row>
    <row r="874" spans="1:26" x14ac:dyDescent="0.25">
      <c r="A874" t="str">
        <v>VASO DESCARTABLE</v>
      </c>
      <c r="B874" t="str">
        <v>Callao</v>
      </c>
      <c r="C874">
        <v>5</v>
      </c>
      <c r="X874" t="s">
        <v>75</v>
      </c>
      <c r="Y874" t="s">
        <v>418</v>
      </c>
      <c r="Z874">
        <v>12</v>
      </c>
    </row>
    <row r="875" spans="1:26" x14ac:dyDescent="0.25">
      <c r="A875" t="str">
        <v>CUBIERTO DESCARTABLE</v>
      </c>
      <c r="B875" t="str">
        <v>Callao</v>
      </c>
      <c r="C875">
        <v>3</v>
      </c>
      <c r="X875" t="s">
        <v>833</v>
      </c>
      <c r="Y875" t="s">
        <v>418</v>
      </c>
      <c r="Z875">
        <v>60</v>
      </c>
    </row>
    <row r="876" spans="1:26" x14ac:dyDescent="0.25">
      <c r="A876" t="str">
        <v>GASEOSA NO RETORNABLE</v>
      </c>
      <c r="B876" t="str">
        <v>Callao</v>
      </c>
      <c r="C876">
        <v>12</v>
      </c>
      <c r="X876" t="s">
        <v>834</v>
      </c>
      <c r="Y876" t="s">
        <v>418</v>
      </c>
      <c r="Z876">
        <v>8</v>
      </c>
    </row>
    <row r="877" spans="1:26" x14ac:dyDescent="0.25">
      <c r="A877" t="str">
        <v>PARRILLADA SERVIDA</v>
      </c>
      <c r="B877" t="str">
        <v>Callao</v>
      </c>
      <c r="C877">
        <v>60</v>
      </c>
      <c r="X877" t="s">
        <v>835</v>
      </c>
      <c r="Y877" t="s">
        <v>418</v>
      </c>
      <c r="Z877">
        <v>50</v>
      </c>
    </row>
    <row r="878" spans="1:26" x14ac:dyDescent="0.25">
      <c r="A878" t="str">
        <v>GASEOSA SERVIDA</v>
      </c>
      <c r="B878" t="str">
        <v>Callao</v>
      </c>
      <c r="C878">
        <v>8</v>
      </c>
      <c r="X878" t="s">
        <v>836</v>
      </c>
      <c r="Y878" t="s">
        <v>418</v>
      </c>
      <c r="Z878">
        <v>45</v>
      </c>
    </row>
    <row r="879" spans="1:26" x14ac:dyDescent="0.25">
      <c r="A879" t="str">
        <v>PETROLEO</v>
      </c>
      <c r="B879" t="str">
        <v>Callao</v>
      </c>
      <c r="C879">
        <v>50</v>
      </c>
      <c r="X879" t="s">
        <v>837</v>
      </c>
      <c r="Y879" t="s">
        <v>418</v>
      </c>
      <c r="Z879">
        <v>28</v>
      </c>
    </row>
    <row r="880" spans="1:26" x14ac:dyDescent="0.25">
      <c r="A880" t="str">
        <v>CARNE DE CERDO</v>
      </c>
      <c r="B880" t="str">
        <v>Callao</v>
      </c>
      <c r="C880">
        <v>45</v>
      </c>
      <c r="X880" t="s">
        <v>834</v>
      </c>
      <c r="Y880" t="s">
        <v>418</v>
      </c>
      <c r="Z880">
        <v>4</v>
      </c>
    </row>
    <row r="881" spans="1:26" x14ac:dyDescent="0.25">
      <c r="A881" t="str">
        <v>TALLARIN ESPECIAL</v>
      </c>
      <c r="B881" t="str">
        <v>Callao</v>
      </c>
      <c r="C881">
        <v>28</v>
      </c>
      <c r="X881" t="s">
        <v>838</v>
      </c>
      <c r="Y881" t="s">
        <v>418</v>
      </c>
      <c r="Z881">
        <v>10</v>
      </c>
    </row>
    <row r="882" spans="1:26" x14ac:dyDescent="0.25">
      <c r="A882" t="str">
        <v>GASEOSA SERVIDA</v>
      </c>
      <c r="B882" t="str">
        <v>Callao</v>
      </c>
      <c r="C882">
        <v>4</v>
      </c>
      <c r="X882" t="s">
        <v>839</v>
      </c>
      <c r="Y882" t="s">
        <v>418</v>
      </c>
      <c r="Z882">
        <v>170</v>
      </c>
    </row>
    <row r="883" spans="1:26" x14ac:dyDescent="0.25">
      <c r="A883" t="str">
        <v>WANTAN SERVIDO</v>
      </c>
      <c r="B883" t="str">
        <v>Callao</v>
      </c>
      <c r="C883">
        <v>10</v>
      </c>
      <c r="X883" t="s">
        <v>715</v>
      </c>
      <c r="Y883" t="s">
        <v>418</v>
      </c>
      <c r="Z883">
        <v>150</v>
      </c>
    </row>
    <row r="884" spans="1:26" x14ac:dyDescent="0.25">
      <c r="A884" t="str">
        <v>PAVO EN PIE O VIVO</v>
      </c>
      <c r="B884" t="str">
        <v>Callao</v>
      </c>
      <c r="C884">
        <v>170</v>
      </c>
      <c r="X884" t="s">
        <v>840</v>
      </c>
      <c r="Y884" t="s">
        <v>418</v>
      </c>
      <c r="Z884">
        <v>60</v>
      </c>
    </row>
    <row r="885" spans="1:26" x14ac:dyDescent="0.25">
      <c r="A885" t="str">
        <v>CERVEZA RUBIA</v>
      </c>
      <c r="B885" t="str">
        <v>Callao</v>
      </c>
      <c r="C885">
        <v>150</v>
      </c>
      <c r="X885" t="s">
        <v>841</v>
      </c>
      <c r="Y885" t="s">
        <v>418</v>
      </c>
      <c r="Z885">
        <v>20</v>
      </c>
    </row>
    <row r="886" spans="1:26" x14ac:dyDescent="0.25">
      <c r="A886" t="str">
        <v>PARIHUELA</v>
      </c>
      <c r="B886" t="str">
        <v>Callao</v>
      </c>
      <c r="C886">
        <v>60</v>
      </c>
      <c r="X886" t="s">
        <v>183</v>
      </c>
      <c r="Y886" t="s">
        <v>418</v>
      </c>
      <c r="Z886">
        <v>14</v>
      </c>
    </row>
    <row r="887" spans="1:26" x14ac:dyDescent="0.25">
      <c r="A887" t="str">
        <v>CALDO DE PATA</v>
      </c>
      <c r="B887" t="str">
        <v>Callao</v>
      </c>
      <c r="C887">
        <v>20</v>
      </c>
      <c r="X887" t="s">
        <v>657</v>
      </c>
      <c r="Y887" t="s">
        <v>418</v>
      </c>
      <c r="Z887">
        <v>9</v>
      </c>
    </row>
    <row r="888" spans="1:26" x14ac:dyDescent="0.25">
      <c r="A888" t="str">
        <v>PASTA DENTAL GRANDE</v>
      </c>
      <c r="B888" t="str">
        <v>Callao</v>
      </c>
      <c r="C888">
        <v>14</v>
      </c>
      <c r="X888" t="s">
        <v>707</v>
      </c>
      <c r="Y888" t="s">
        <v>418</v>
      </c>
      <c r="Z888">
        <v>10</v>
      </c>
    </row>
    <row r="889" spans="1:26" x14ac:dyDescent="0.25">
      <c r="A889" t="str">
        <v>MAQUINA DE AFEITAR DESECHABLE</v>
      </c>
      <c r="B889" t="str">
        <v>Callao</v>
      </c>
      <c r="C889">
        <v>9</v>
      </c>
      <c r="X889" t="s">
        <v>842</v>
      </c>
      <c r="Y889" t="s">
        <v>418</v>
      </c>
      <c r="Z889">
        <v>70</v>
      </c>
    </row>
    <row r="890" spans="1:26" x14ac:dyDescent="0.25">
      <c r="A890" t="str">
        <v>CALDO DE GALLINA</v>
      </c>
      <c r="B890" t="str">
        <v>Callao</v>
      </c>
      <c r="C890">
        <v>10</v>
      </c>
      <c r="X890" t="s">
        <v>715</v>
      </c>
      <c r="Y890" t="s">
        <v>418</v>
      </c>
      <c r="Z890">
        <v>54</v>
      </c>
    </row>
    <row r="891" spans="1:26" x14ac:dyDescent="0.25">
      <c r="A891" t="str">
        <v>VITAMINA EN POLVO</v>
      </c>
      <c r="B891" t="str">
        <v>Callao</v>
      </c>
      <c r="C891">
        <v>70</v>
      </c>
      <c r="X891" t="s">
        <v>843</v>
      </c>
      <c r="Y891" t="s">
        <v>418</v>
      </c>
      <c r="Z891">
        <v>120</v>
      </c>
    </row>
    <row r="892" spans="1:26" x14ac:dyDescent="0.25">
      <c r="A892" t="str">
        <v>CERVEZA RUBIA</v>
      </c>
      <c r="B892" t="str">
        <v>Callao</v>
      </c>
      <c r="C892">
        <v>54</v>
      </c>
      <c r="X892" t="s">
        <v>835</v>
      </c>
      <c r="Y892" t="s">
        <v>418</v>
      </c>
      <c r="Z892">
        <v>25</v>
      </c>
    </row>
    <row r="893" spans="1:26" x14ac:dyDescent="0.25">
      <c r="A893" t="str">
        <v>JUEGOS ARTIFICIALES</v>
      </c>
      <c r="B893" t="str">
        <v>Callao</v>
      </c>
      <c r="C893">
        <v>120</v>
      </c>
      <c r="X893" t="s">
        <v>844</v>
      </c>
      <c r="Y893" t="s">
        <v>418</v>
      </c>
      <c r="Z893">
        <v>35</v>
      </c>
    </row>
    <row r="894" spans="1:26" x14ac:dyDescent="0.25">
      <c r="A894" t="str">
        <v>PETROLEO</v>
      </c>
      <c r="B894" t="str">
        <v>Callao</v>
      </c>
      <c r="C894">
        <v>25</v>
      </c>
      <c r="X894" t="s">
        <v>2</v>
      </c>
      <c r="Y894" t="s">
        <v>418</v>
      </c>
      <c r="Z894">
        <v>6</v>
      </c>
    </row>
    <row r="895" spans="1:26" x14ac:dyDescent="0.25">
      <c r="A895" t="str">
        <v>FRITADA DE PESCADO</v>
      </c>
      <c r="B895" t="str">
        <v>Callao</v>
      </c>
      <c r="C895">
        <v>35</v>
      </c>
      <c r="X895" t="s">
        <v>845</v>
      </c>
      <c r="Y895" t="s">
        <v>418</v>
      </c>
      <c r="Z895">
        <v>10</v>
      </c>
    </row>
    <row r="896" spans="1:26" x14ac:dyDescent="0.25">
      <c r="A896" t="str">
        <v>LECHE EVAPORADA</v>
      </c>
      <c r="B896" t="str">
        <v>Callao</v>
      </c>
      <c r="C896">
        <v>6</v>
      </c>
      <c r="X896" t="s">
        <v>846</v>
      </c>
      <c r="Y896" t="s">
        <v>418</v>
      </c>
      <c r="Z896">
        <v>37</v>
      </c>
    </row>
    <row r="897" spans="1:26" x14ac:dyDescent="0.25">
      <c r="A897" t="str">
        <v>ADORNOS DE NAVIDAD</v>
      </c>
      <c r="B897" t="str">
        <v>Callao</v>
      </c>
      <c r="C897">
        <v>10</v>
      </c>
      <c r="X897" t="s">
        <v>847</v>
      </c>
      <c r="Y897" t="s">
        <v>418</v>
      </c>
      <c r="Z897">
        <v>2</v>
      </c>
    </row>
    <row r="898" spans="1:26" x14ac:dyDescent="0.25">
      <c r="A898" t="str">
        <v>GALLINA EN PIE</v>
      </c>
      <c r="B898" t="str">
        <v>Callao</v>
      </c>
      <c r="C898">
        <v>37</v>
      </c>
      <c r="X898" t="s">
        <v>848</v>
      </c>
      <c r="Y898" t="s">
        <v>418</v>
      </c>
      <c r="Z898">
        <v>60</v>
      </c>
    </row>
    <row r="899" spans="1:26" x14ac:dyDescent="0.25">
      <c r="A899" t="str">
        <v>PASTILLA PARA EL DOLOR DE ESTOMAGO</v>
      </c>
      <c r="B899" t="str">
        <v>Callao</v>
      </c>
      <c r="C899">
        <v>2</v>
      </c>
      <c r="X899" t="s">
        <v>849</v>
      </c>
      <c r="Y899" t="s">
        <v>418</v>
      </c>
      <c r="Z899">
        <v>1</v>
      </c>
    </row>
    <row r="900" spans="1:26" x14ac:dyDescent="0.25">
      <c r="A900" t="str">
        <v>PIERNA DE CHANCHO</v>
      </c>
      <c r="B900" t="str">
        <v>Callao</v>
      </c>
      <c r="C900">
        <v>60</v>
      </c>
      <c r="X900" t="s">
        <v>850</v>
      </c>
      <c r="Y900" t="s">
        <v>418</v>
      </c>
      <c r="Z900">
        <v>6</v>
      </c>
    </row>
    <row r="901" spans="1:26" x14ac:dyDescent="0.25">
      <c r="A901" t="str">
        <v>COLLETE PARA CABELLO</v>
      </c>
      <c r="B901" t="str">
        <v>Callao</v>
      </c>
      <c r="C901">
        <v>1</v>
      </c>
      <c r="X901" t="s">
        <v>198</v>
      </c>
      <c r="Y901" t="s">
        <v>418</v>
      </c>
      <c r="Z901">
        <v>2</v>
      </c>
    </row>
    <row r="902" spans="1:26" x14ac:dyDescent="0.25">
      <c r="A902" t="str">
        <v>JABON DE TOCADOR LIQUIDO</v>
      </c>
      <c r="B902" t="str">
        <v>Callao</v>
      </c>
      <c r="C902">
        <v>6</v>
      </c>
      <c r="X902" t="s">
        <v>851</v>
      </c>
      <c r="Y902" t="s">
        <v>418</v>
      </c>
      <c r="Z902">
        <v>1</v>
      </c>
    </row>
    <row r="903" spans="1:26" x14ac:dyDescent="0.25">
      <c r="A903" t="str">
        <v>POLLO ENTERO EVISCERADO</v>
      </c>
      <c r="B903" t="str">
        <v>Callao</v>
      </c>
      <c r="C903">
        <v>2</v>
      </c>
      <c r="X903" t="s">
        <v>852</v>
      </c>
      <c r="Y903" t="s">
        <v>418</v>
      </c>
      <c r="Z903">
        <v>0</v>
      </c>
    </row>
    <row r="904" spans="1:26" x14ac:dyDescent="0.25">
      <c r="A904" t="str">
        <v>FIDEO CABELLO DE ANGEL ENVASADO</v>
      </c>
      <c r="B904" t="str">
        <v>Callao</v>
      </c>
      <c r="C904">
        <v>1</v>
      </c>
      <c r="X904" t="s">
        <v>15</v>
      </c>
      <c r="Y904" t="s">
        <v>418</v>
      </c>
      <c r="Z904">
        <v>2</v>
      </c>
    </row>
    <row r="905" spans="1:26" x14ac:dyDescent="0.25">
      <c r="A905" t="str">
        <v>GOMAS DE MASCAR</v>
      </c>
      <c r="B905" t="str">
        <v>Callao</v>
      </c>
      <c r="C905">
        <v>0</v>
      </c>
      <c r="X905" t="s">
        <v>828</v>
      </c>
      <c r="Y905" t="s">
        <v>418</v>
      </c>
      <c r="Z905">
        <v>13</v>
      </c>
    </row>
    <row r="906" spans="1:26" x14ac:dyDescent="0.25">
      <c r="A906" t="str">
        <v>CAFE INSTANTANEO ENVASADO</v>
      </c>
      <c r="B906" t="str">
        <v>Callao</v>
      </c>
      <c r="C906">
        <v>2</v>
      </c>
      <c r="X906" t="s">
        <v>853</v>
      </c>
      <c r="Y906" t="s">
        <v>418</v>
      </c>
      <c r="Z906">
        <v>10</v>
      </c>
    </row>
    <row r="907" spans="1:26" x14ac:dyDescent="0.25">
      <c r="A907" t="str">
        <v>PANETON</v>
      </c>
      <c r="B907" t="str">
        <v>Callao</v>
      </c>
      <c r="C907">
        <v>13</v>
      </c>
      <c r="X907" t="s">
        <v>668</v>
      </c>
      <c r="Y907" t="s">
        <v>418</v>
      </c>
      <c r="Z907">
        <v>5</v>
      </c>
    </row>
    <row r="908" spans="1:26" x14ac:dyDescent="0.25">
      <c r="A908" t="str">
        <v>CHAMPAGNE</v>
      </c>
      <c r="B908" t="str">
        <v>Callao</v>
      </c>
      <c r="C908">
        <v>10</v>
      </c>
      <c r="X908" t="s">
        <v>854</v>
      </c>
      <c r="Y908" t="s">
        <v>418</v>
      </c>
      <c r="Z908">
        <v>2</v>
      </c>
    </row>
    <row r="909" spans="1:26" x14ac:dyDescent="0.25">
      <c r="A909" t="str">
        <v>PLATANO FRITO A GRANEL</v>
      </c>
      <c r="B909" t="str">
        <v>Callao</v>
      </c>
      <c r="C909">
        <v>5</v>
      </c>
      <c r="X909" t="s">
        <v>855</v>
      </c>
      <c r="Y909" t="s">
        <v>418</v>
      </c>
      <c r="Z909">
        <v>14</v>
      </c>
    </row>
    <row r="910" spans="1:26" x14ac:dyDescent="0.25">
      <c r="A910" t="str">
        <v>JAMONADA A GRANEL</v>
      </c>
      <c r="B910" t="str">
        <v>Callao</v>
      </c>
      <c r="C910">
        <v>2</v>
      </c>
      <c r="X910" t="s">
        <v>856</v>
      </c>
      <c r="Y910" t="s">
        <v>418</v>
      </c>
      <c r="Z910">
        <v>4</v>
      </c>
    </row>
    <row r="911" spans="1:26" x14ac:dyDescent="0.25">
      <c r="A911" t="str">
        <v>HELADO DE CREMA ENVASADO FAMILIAR</v>
      </c>
      <c r="B911" t="str">
        <v>Callao</v>
      </c>
      <c r="C911">
        <v>14</v>
      </c>
      <c r="X911" t="s">
        <v>857</v>
      </c>
      <c r="Y911" t="s">
        <v>418</v>
      </c>
      <c r="Z911">
        <v>0</v>
      </c>
    </row>
    <row r="912" spans="1:26" x14ac:dyDescent="0.25">
      <c r="A912" t="str">
        <v>DURAZNO EN CONSERVA</v>
      </c>
      <c r="B912" t="str">
        <v>Callao</v>
      </c>
      <c r="C912">
        <v>4</v>
      </c>
      <c r="X912" t="s">
        <v>123</v>
      </c>
      <c r="Y912" t="s">
        <v>418</v>
      </c>
      <c r="Z912">
        <v>3</v>
      </c>
    </row>
    <row r="913" spans="1:26" x14ac:dyDescent="0.25">
      <c r="A913" t="str">
        <v>ALQUILER DE BA O PUBLICO</v>
      </c>
      <c r="B913" t="str">
        <v>Callao</v>
      </c>
      <c r="C913">
        <v>0</v>
      </c>
      <c r="X913" t="s">
        <v>214</v>
      </c>
      <c r="Y913" t="s">
        <v>418</v>
      </c>
      <c r="Z913">
        <v>3</v>
      </c>
    </row>
    <row r="914" spans="1:26" x14ac:dyDescent="0.25">
      <c r="A914" t="str">
        <v>CHAMPU ADULTO</v>
      </c>
      <c r="B914" t="str">
        <v>Callao</v>
      </c>
      <c r="C914">
        <v>3</v>
      </c>
      <c r="X914" t="s">
        <v>198</v>
      </c>
      <c r="Y914" t="s">
        <v>418</v>
      </c>
      <c r="Z914">
        <v>9</v>
      </c>
    </row>
    <row r="915" spans="1:26" x14ac:dyDescent="0.25">
      <c r="A915" t="str">
        <v>MARGARINA ENVASADA</v>
      </c>
      <c r="B915" t="str">
        <v>Callao</v>
      </c>
      <c r="C915">
        <v>3</v>
      </c>
      <c r="X915" t="s">
        <v>858</v>
      </c>
      <c r="Y915" t="s">
        <v>418</v>
      </c>
      <c r="Z915">
        <v>1</v>
      </c>
    </row>
    <row r="916" spans="1:26" x14ac:dyDescent="0.25">
      <c r="A916" t="str">
        <v>POLLO ENTERO EVISCERADO</v>
      </c>
      <c r="B916" t="str">
        <v>Callao</v>
      </c>
      <c r="C916">
        <v>9</v>
      </c>
      <c r="X916" t="s">
        <v>859</v>
      </c>
      <c r="Y916" t="s">
        <v>418</v>
      </c>
      <c r="Z916">
        <v>2</v>
      </c>
    </row>
    <row r="917" spans="1:26" x14ac:dyDescent="0.25">
      <c r="A917" t="str">
        <v>CEBADA ENTERA TOSTADA A GRANEL</v>
      </c>
      <c r="B917" t="str">
        <v>Callao</v>
      </c>
      <c r="C917">
        <v>1</v>
      </c>
      <c r="X917" t="s">
        <v>177</v>
      </c>
      <c r="Y917" t="s">
        <v>418</v>
      </c>
      <c r="Z917">
        <v>4</v>
      </c>
    </row>
    <row r="918" spans="1:26" x14ac:dyDescent="0.25">
      <c r="A918" t="str">
        <v>UNGUENTO PARA GRIPE</v>
      </c>
      <c r="B918" t="str">
        <v>Callao</v>
      </c>
      <c r="C918">
        <v>2</v>
      </c>
      <c r="X918" t="s">
        <v>29</v>
      </c>
      <c r="Y918" t="s">
        <v>418</v>
      </c>
      <c r="Z918">
        <v>1</v>
      </c>
    </row>
    <row r="919" spans="1:26" x14ac:dyDescent="0.25">
      <c r="A919" t="str">
        <v>MENUDENCIA DE POLLO</v>
      </c>
      <c r="B919" t="str">
        <v>Callao</v>
      </c>
      <c r="C919">
        <v>4</v>
      </c>
      <c r="X919" t="s">
        <v>198</v>
      </c>
      <c r="Y919" t="s">
        <v>418</v>
      </c>
      <c r="Z919">
        <v>7</v>
      </c>
    </row>
    <row r="920" spans="1:26" x14ac:dyDescent="0.25">
      <c r="A920" t="str">
        <v>AJO ENTERO PELADO</v>
      </c>
      <c r="B920" t="str">
        <v>Callao</v>
      </c>
      <c r="C920">
        <v>1</v>
      </c>
      <c r="X920" t="s">
        <v>860</v>
      </c>
      <c r="Y920" t="s">
        <v>418</v>
      </c>
      <c r="Z920">
        <v>0</v>
      </c>
    </row>
    <row r="921" spans="1:26" x14ac:dyDescent="0.25">
      <c r="A921" t="str">
        <v>POLLO ENTERO EVISCERADO</v>
      </c>
      <c r="B921" t="str">
        <v>Callao</v>
      </c>
      <c r="C921">
        <v>7</v>
      </c>
      <c r="X921" t="s">
        <v>762</v>
      </c>
      <c r="Y921" t="s">
        <v>418</v>
      </c>
      <c r="Z921">
        <v>0</v>
      </c>
    </row>
    <row r="922" spans="1:26" x14ac:dyDescent="0.25">
      <c r="A922" t="str">
        <v>MOTE PRECOCIDO</v>
      </c>
      <c r="B922" t="str">
        <v>Callao</v>
      </c>
      <c r="C922">
        <v>0</v>
      </c>
      <c r="X922" t="s">
        <v>861</v>
      </c>
      <c r="Y922" t="s">
        <v>418</v>
      </c>
      <c r="Z922">
        <v>6</v>
      </c>
    </row>
    <row r="923" spans="1:26" x14ac:dyDescent="0.25">
      <c r="A923" t="str">
        <v>MAIZ TOSTADO A GRANEL</v>
      </c>
      <c r="B923" t="str">
        <v>Callao</v>
      </c>
      <c r="C923">
        <v>0</v>
      </c>
      <c r="X923" t="s">
        <v>862</v>
      </c>
      <c r="Y923" t="s">
        <v>418</v>
      </c>
      <c r="Z923">
        <v>15</v>
      </c>
    </row>
    <row r="924" spans="1:26" x14ac:dyDescent="0.25">
      <c r="A924" t="str">
        <v>CEBADA INSTANTANEA ENVASADA</v>
      </c>
      <c r="B924" t="str">
        <v>Callao</v>
      </c>
      <c r="C924">
        <v>6</v>
      </c>
      <c r="X924" t="s">
        <v>863</v>
      </c>
      <c r="Y924" t="s">
        <v>418</v>
      </c>
      <c r="Z924">
        <v>21</v>
      </c>
    </row>
    <row r="925" spans="1:26" x14ac:dyDescent="0.25">
      <c r="A925" t="str">
        <v>VINO TINTO SECO</v>
      </c>
      <c r="B925" t="str">
        <v>Callao</v>
      </c>
      <c r="C925">
        <v>15</v>
      </c>
      <c r="X925" t="s">
        <v>864</v>
      </c>
      <c r="Y925" t="s">
        <v>418</v>
      </c>
      <c r="Z925">
        <v>10</v>
      </c>
    </row>
    <row r="926" spans="1:26" x14ac:dyDescent="0.25">
      <c r="A926" t="str">
        <v>AYANQUE FRESCO</v>
      </c>
      <c r="B926" t="str">
        <v>Callao</v>
      </c>
      <c r="C926">
        <v>21</v>
      </c>
      <c r="X926" t="s">
        <v>865</v>
      </c>
      <c r="Y926" t="s">
        <v>418</v>
      </c>
      <c r="Z926">
        <v>0</v>
      </c>
    </row>
    <row r="927" spans="1:26" x14ac:dyDescent="0.25">
      <c r="A927" t="str">
        <v>PASTILLA PARA EL DOLOR DE LAS ARTICULACIONES</v>
      </c>
      <c r="B927" t="str">
        <v>Callao</v>
      </c>
      <c r="C927">
        <v>10</v>
      </c>
      <c r="X927" t="s">
        <v>156</v>
      </c>
      <c r="Y927" t="s">
        <v>418</v>
      </c>
      <c r="Z927">
        <v>2</v>
      </c>
    </row>
    <row r="928" spans="1:26" x14ac:dyDescent="0.25">
      <c r="A928" t="str">
        <v>ANIS FILTRANTE</v>
      </c>
      <c r="B928" t="str">
        <v>Callao</v>
      </c>
      <c r="C928">
        <v>0</v>
      </c>
      <c r="X928" t="s">
        <v>39</v>
      </c>
      <c r="Y928" t="s">
        <v>418</v>
      </c>
      <c r="Z928">
        <v>6</v>
      </c>
    </row>
    <row r="929" spans="1:26" x14ac:dyDescent="0.25">
      <c r="A929" t="str">
        <v>ACEITUNA NEGRA A GRANEL</v>
      </c>
      <c r="B929" t="str">
        <v>Callao</v>
      </c>
      <c r="C929">
        <v>2</v>
      </c>
      <c r="X929" t="s">
        <v>740</v>
      </c>
      <c r="Y929" t="s">
        <v>418</v>
      </c>
      <c r="Z929">
        <v>2</v>
      </c>
    </row>
    <row r="930" spans="1:26" x14ac:dyDescent="0.25">
      <c r="A930" t="str">
        <v>PAPEL HIGIENICO</v>
      </c>
      <c r="B930" t="str">
        <v>Callao</v>
      </c>
      <c r="C930">
        <v>6</v>
      </c>
      <c r="X930" t="s">
        <v>866</v>
      </c>
      <c r="Y930" t="s">
        <v>418</v>
      </c>
      <c r="Z930">
        <v>2</v>
      </c>
    </row>
    <row r="931" spans="1:26" x14ac:dyDescent="0.25">
      <c r="A931" t="str">
        <v>PEPINILLO</v>
      </c>
      <c r="B931" t="str">
        <v>Callao</v>
      </c>
      <c r="C931">
        <v>2</v>
      </c>
      <c r="X931" t="s">
        <v>601</v>
      </c>
      <c r="Y931" t="s">
        <v>418</v>
      </c>
      <c r="Z931">
        <v>2</v>
      </c>
    </row>
    <row r="932" spans="1:26" x14ac:dyDescent="0.25">
      <c r="A932" t="str">
        <v>MANI TOSTADO ENTERO</v>
      </c>
      <c r="B932" t="str">
        <v>Callao</v>
      </c>
      <c r="C932">
        <v>2</v>
      </c>
      <c r="X932" t="s">
        <v>867</v>
      </c>
      <c r="Y932" t="s">
        <v>418</v>
      </c>
      <c r="Z932">
        <v>0</v>
      </c>
    </row>
    <row r="933" spans="1:26" x14ac:dyDescent="0.25">
      <c r="A933" t="str">
        <v>PASAS A GRANEL</v>
      </c>
      <c r="B933" t="str">
        <v>Callao</v>
      </c>
      <c r="C933">
        <v>2</v>
      </c>
      <c r="X933" t="s">
        <v>868</v>
      </c>
      <c r="Y933" t="s">
        <v>418</v>
      </c>
      <c r="Z933">
        <v>2</v>
      </c>
    </row>
    <row r="934" spans="1:26" x14ac:dyDescent="0.25">
      <c r="A934" t="str">
        <v>PAN REDONDO</v>
      </c>
      <c r="B934" t="str">
        <v>Callao</v>
      </c>
      <c r="C934">
        <v>0</v>
      </c>
      <c r="X934" t="s">
        <v>869</v>
      </c>
      <c r="Y934" t="s">
        <v>418</v>
      </c>
      <c r="Z934">
        <v>4</v>
      </c>
    </row>
    <row r="935" spans="1:26" x14ac:dyDescent="0.25">
      <c r="A935" t="str">
        <v>TAMAL DE POLLO SERVIDO</v>
      </c>
      <c r="B935" t="str">
        <v>Callao</v>
      </c>
      <c r="C935">
        <v>2</v>
      </c>
      <c r="X935" t="s">
        <v>870</v>
      </c>
      <c r="Y935" t="s">
        <v>418</v>
      </c>
      <c r="Z935">
        <v>1</v>
      </c>
    </row>
    <row r="936" spans="1:26" x14ac:dyDescent="0.25">
      <c r="A936" t="str">
        <v>ALFAJOR</v>
      </c>
      <c r="B936" t="str">
        <v>Callao</v>
      </c>
      <c r="C936">
        <v>4</v>
      </c>
      <c r="X936" t="s">
        <v>871</v>
      </c>
      <c r="Y936" t="s">
        <v>418</v>
      </c>
      <c r="Z936">
        <v>7</v>
      </c>
    </row>
    <row r="937" spans="1:26" x14ac:dyDescent="0.25">
      <c r="A937" t="str">
        <v>BUDIN</v>
      </c>
      <c r="B937" t="str">
        <v>Callao</v>
      </c>
      <c r="C937">
        <v>1</v>
      </c>
      <c r="X937" t="s">
        <v>36</v>
      </c>
      <c r="Y937" t="s">
        <v>418</v>
      </c>
      <c r="Z937">
        <v>2</v>
      </c>
    </row>
    <row r="938" spans="1:26" x14ac:dyDescent="0.25">
      <c r="A938" t="str">
        <v>PAVITA EVISCERADA</v>
      </c>
      <c r="B938" t="str">
        <v>Callao</v>
      </c>
      <c r="C938">
        <v>7</v>
      </c>
      <c r="X938" t="s">
        <v>872</v>
      </c>
      <c r="Y938" t="s">
        <v>418</v>
      </c>
      <c r="Z938">
        <v>14</v>
      </c>
    </row>
    <row r="939" spans="1:26" x14ac:dyDescent="0.25">
      <c r="A939" t="str">
        <v>FREJOL BAYO A GRANEL</v>
      </c>
      <c r="B939" t="str">
        <v>Callao</v>
      </c>
      <c r="C939">
        <v>2</v>
      </c>
      <c r="X939" t="s">
        <v>248</v>
      </c>
      <c r="Y939" t="s">
        <v>418</v>
      </c>
      <c r="Z939">
        <v>2</v>
      </c>
    </row>
    <row r="940" spans="1:26" x14ac:dyDescent="0.25">
      <c r="A940" t="str">
        <v>QUEQUE DE VAINILLA SERVIDO</v>
      </c>
      <c r="B940" t="str">
        <v>Callao</v>
      </c>
      <c r="C940">
        <v>14</v>
      </c>
      <c r="X940" t="s">
        <v>59</v>
      </c>
      <c r="Y940" t="s">
        <v>418</v>
      </c>
      <c r="Z940">
        <v>15</v>
      </c>
    </row>
    <row r="941" spans="1:26" x14ac:dyDescent="0.25">
      <c r="A941" t="str">
        <v>CEREAL PROCESADO MIXTO ENVASADO</v>
      </c>
      <c r="B941" t="str">
        <v>Callao</v>
      </c>
      <c r="C941">
        <v>2</v>
      </c>
      <c r="X941" t="s">
        <v>846</v>
      </c>
      <c r="Y941" t="s">
        <v>418</v>
      </c>
      <c r="Z941">
        <v>20</v>
      </c>
    </row>
    <row r="942" spans="1:26" x14ac:dyDescent="0.25">
      <c r="A942" t="str">
        <v>SIERRA FRESCA</v>
      </c>
      <c r="B942" t="str">
        <v>Callao</v>
      </c>
      <c r="C942">
        <v>15</v>
      </c>
      <c r="X942" t="s">
        <v>154</v>
      </c>
      <c r="Y942" t="s">
        <v>418</v>
      </c>
      <c r="Z942">
        <v>19</v>
      </c>
    </row>
    <row r="943" spans="1:26" x14ac:dyDescent="0.25">
      <c r="A943" t="str">
        <v>GALLINA EN PIE</v>
      </c>
      <c r="B943" t="str">
        <v>Callao</v>
      </c>
      <c r="C943">
        <v>20</v>
      </c>
      <c r="X943" t="s">
        <v>873</v>
      </c>
      <c r="Y943" t="s">
        <v>418</v>
      </c>
      <c r="Z943">
        <v>0</v>
      </c>
    </row>
    <row r="944" spans="1:26" x14ac:dyDescent="0.25">
      <c r="A944" t="str">
        <v>MONDONGO DE RES</v>
      </c>
      <c r="B944" t="str">
        <v>Callao</v>
      </c>
      <c r="C944">
        <v>19</v>
      </c>
      <c r="X944" t="s">
        <v>874</v>
      </c>
      <c r="Y944" t="s">
        <v>418</v>
      </c>
      <c r="Z944">
        <v>4</v>
      </c>
    </row>
    <row r="945" spans="1:26" x14ac:dyDescent="0.25">
      <c r="A945" t="str">
        <v>SAZONADOR CON HONGOS Y LAUREL ENVASADO</v>
      </c>
      <c r="B945" t="str">
        <v>Callao</v>
      </c>
      <c r="C945">
        <v>0</v>
      </c>
      <c r="X945" t="s">
        <v>875</v>
      </c>
      <c r="Y945" t="s">
        <v>418</v>
      </c>
      <c r="Z945">
        <v>3</v>
      </c>
    </row>
    <row r="946" spans="1:26" x14ac:dyDescent="0.25">
      <c r="A946" t="str">
        <v>ESMALTE PARA U AS</v>
      </c>
      <c r="B946" t="str">
        <v>Callao</v>
      </c>
      <c r="C946">
        <v>4</v>
      </c>
      <c r="X946" t="s">
        <v>876</v>
      </c>
      <c r="Y946" t="s">
        <v>418</v>
      </c>
      <c r="Z946">
        <v>1</v>
      </c>
    </row>
    <row r="947" spans="1:26" x14ac:dyDescent="0.25">
      <c r="A947" t="str">
        <v>NECTAR ENVASADO DE DURAZNO</v>
      </c>
      <c r="B947" t="str">
        <v>Callao</v>
      </c>
      <c r="C947">
        <v>3</v>
      </c>
      <c r="X947" t="s">
        <v>877</v>
      </c>
      <c r="Y947" t="s">
        <v>418</v>
      </c>
      <c r="Z947">
        <v>1</v>
      </c>
    </row>
    <row r="948" spans="1:26" x14ac:dyDescent="0.25">
      <c r="A948" t="str">
        <v>PAN DE DULCE</v>
      </c>
      <c r="B948" t="str">
        <v>Callao</v>
      </c>
      <c r="C948">
        <v>1</v>
      </c>
      <c r="X948" t="s">
        <v>3</v>
      </c>
      <c r="Y948" t="s">
        <v>418</v>
      </c>
      <c r="Z948">
        <v>16</v>
      </c>
    </row>
    <row r="949" spans="1:26" x14ac:dyDescent="0.25">
      <c r="A949" t="str">
        <v>HELADO DE CREMA ENVASADO</v>
      </c>
      <c r="B949" t="str">
        <v>Callao</v>
      </c>
      <c r="C949">
        <v>1</v>
      </c>
      <c r="X949" t="s">
        <v>2</v>
      </c>
      <c r="Y949" t="s">
        <v>418</v>
      </c>
      <c r="Z949">
        <v>18</v>
      </c>
    </row>
    <row r="950" spans="1:26" x14ac:dyDescent="0.25">
      <c r="A950" t="str">
        <v>ARROZ CORRIENTE A GRANEL</v>
      </c>
      <c r="B950" t="str">
        <v>Callao</v>
      </c>
      <c r="C950">
        <v>16</v>
      </c>
      <c r="X950" t="s">
        <v>107</v>
      </c>
      <c r="Y950" t="s">
        <v>418</v>
      </c>
      <c r="Z950">
        <v>3</v>
      </c>
    </row>
    <row r="951" spans="1:26" x14ac:dyDescent="0.25">
      <c r="A951" t="str">
        <v>LECHE EVAPORADA</v>
      </c>
      <c r="B951" t="str">
        <v>Callao</v>
      </c>
      <c r="C951">
        <v>18</v>
      </c>
      <c r="X951" t="s">
        <v>878</v>
      </c>
      <c r="Y951" t="s">
        <v>418</v>
      </c>
      <c r="Z951">
        <v>6</v>
      </c>
    </row>
    <row r="952" spans="1:26" x14ac:dyDescent="0.25">
      <c r="A952" t="str">
        <v>PAPA AMARILLA</v>
      </c>
      <c r="B952" t="str">
        <v>Callao</v>
      </c>
      <c r="C952">
        <v>3</v>
      </c>
      <c r="X952" t="s">
        <v>871</v>
      </c>
      <c r="Y952" t="s">
        <v>418</v>
      </c>
      <c r="Z952">
        <v>15</v>
      </c>
    </row>
    <row r="953" spans="1:26" x14ac:dyDescent="0.25">
      <c r="A953" t="str">
        <v>TARJETA DE CUMPLEA OS</v>
      </c>
      <c r="B953" t="str">
        <v>Callao</v>
      </c>
      <c r="C953">
        <v>6</v>
      </c>
      <c r="X953" t="s">
        <v>198</v>
      </c>
      <c r="Y953" t="s">
        <v>418</v>
      </c>
      <c r="Z953">
        <v>32</v>
      </c>
    </row>
    <row r="954" spans="1:26" x14ac:dyDescent="0.25">
      <c r="A954" t="str">
        <v>PAVITA EVISCERADA</v>
      </c>
      <c r="B954" t="str">
        <v>Callao</v>
      </c>
      <c r="C954">
        <v>15</v>
      </c>
      <c r="X954" t="s">
        <v>229</v>
      </c>
      <c r="Y954" t="s">
        <v>418</v>
      </c>
      <c r="Z954">
        <v>5</v>
      </c>
    </row>
    <row r="955" spans="1:26" x14ac:dyDescent="0.25">
      <c r="A955" t="str">
        <v>POLLO ENTERO EVISCERADO</v>
      </c>
      <c r="B955" t="str">
        <v>Callao</v>
      </c>
      <c r="C955">
        <v>32</v>
      </c>
      <c r="X955" t="s">
        <v>70</v>
      </c>
      <c r="Y955" t="s">
        <v>418</v>
      </c>
      <c r="Z955">
        <v>48</v>
      </c>
    </row>
    <row r="956" spans="1:26" x14ac:dyDescent="0.25">
      <c r="A956" t="str">
        <v>FIDEOS TALLARIN ENVASADO</v>
      </c>
      <c r="B956" t="str">
        <v>Callao</v>
      </c>
      <c r="C956">
        <v>5</v>
      </c>
      <c r="X956" t="s">
        <v>707</v>
      </c>
      <c r="Y956" t="s">
        <v>418</v>
      </c>
      <c r="Z956">
        <v>32</v>
      </c>
    </row>
    <row r="957" spans="1:26" x14ac:dyDescent="0.25">
      <c r="A957" t="str">
        <v>ALMUERZO MENU</v>
      </c>
      <c r="B957" t="str">
        <v>Callao</v>
      </c>
      <c r="C957">
        <v>48</v>
      </c>
      <c r="X957" t="s">
        <v>872</v>
      </c>
      <c r="Y957" t="s">
        <v>418</v>
      </c>
      <c r="Z957">
        <v>1</v>
      </c>
    </row>
    <row r="958" spans="1:26" x14ac:dyDescent="0.25">
      <c r="A958" t="str">
        <v>CALDO DE GALLINA</v>
      </c>
      <c r="B958" t="str">
        <v>Callao</v>
      </c>
      <c r="C958">
        <v>32</v>
      </c>
      <c r="X958" t="s">
        <v>879</v>
      </c>
      <c r="Y958" t="s">
        <v>418</v>
      </c>
      <c r="Z958">
        <v>3</v>
      </c>
    </row>
    <row r="959" spans="1:26" x14ac:dyDescent="0.25">
      <c r="A959" t="str">
        <v>QUEQUE DE VAINILLA SERVIDO</v>
      </c>
      <c r="B959" t="str">
        <v>Callao</v>
      </c>
      <c r="C959">
        <v>1</v>
      </c>
      <c r="X959" t="s">
        <v>867</v>
      </c>
      <c r="Y959" t="s">
        <v>418</v>
      </c>
      <c r="Z959">
        <v>2</v>
      </c>
    </row>
    <row r="960" spans="1:26" x14ac:dyDescent="0.25">
      <c r="A960" t="str">
        <v>LECHE ASADA</v>
      </c>
      <c r="B960" t="str">
        <v>Callao</v>
      </c>
      <c r="C960">
        <v>3</v>
      </c>
      <c r="X960" t="s">
        <v>248</v>
      </c>
      <c r="Y960" t="s">
        <v>418</v>
      </c>
      <c r="Z960">
        <v>5</v>
      </c>
    </row>
    <row r="961" spans="1:26" x14ac:dyDescent="0.25">
      <c r="A961" t="str">
        <v>PAN REDONDO</v>
      </c>
      <c r="B961" t="str">
        <v>Callao</v>
      </c>
      <c r="C961">
        <v>2</v>
      </c>
      <c r="X961" t="s">
        <v>880</v>
      </c>
      <c r="Y961" t="s">
        <v>418</v>
      </c>
      <c r="Z961">
        <v>8</v>
      </c>
    </row>
    <row r="962" spans="1:26" x14ac:dyDescent="0.25">
      <c r="A962" t="str">
        <v>CEREAL PROCESADO MIXTO ENVASADO</v>
      </c>
      <c r="B962" t="str">
        <v>Callao</v>
      </c>
      <c r="C962">
        <v>5</v>
      </c>
      <c r="X962" t="s">
        <v>881</v>
      </c>
      <c r="Y962" t="s">
        <v>418</v>
      </c>
      <c r="Z962">
        <v>2</v>
      </c>
    </row>
    <row r="963" spans="1:26" x14ac:dyDescent="0.25">
      <c r="A963" t="str">
        <v>MERMELADA ENVASADA</v>
      </c>
      <c r="B963" t="str">
        <v>Callao</v>
      </c>
      <c r="C963">
        <v>8</v>
      </c>
      <c r="X963" t="s">
        <v>779</v>
      </c>
      <c r="Y963" t="s">
        <v>418</v>
      </c>
      <c r="Z963">
        <v>36</v>
      </c>
    </row>
    <row r="964" spans="1:26" x14ac:dyDescent="0.25">
      <c r="A964" t="str">
        <v>PILA ELECTRICA CHICA</v>
      </c>
      <c r="B964" t="str">
        <v>Callao</v>
      </c>
      <c r="C964">
        <v>2</v>
      </c>
      <c r="X964" t="s">
        <v>191</v>
      </c>
      <c r="Y964" t="s">
        <v>418</v>
      </c>
      <c r="Z964">
        <v>3</v>
      </c>
    </row>
    <row r="965" spans="1:26" x14ac:dyDescent="0.25">
      <c r="A965" t="str">
        <v>PASTILLA PARA EL DOLOR MUSCULAR</v>
      </c>
      <c r="B965" t="str">
        <v>Callao</v>
      </c>
      <c r="C965">
        <v>36</v>
      </c>
      <c r="X965" t="s">
        <v>658</v>
      </c>
      <c r="Y965" t="s">
        <v>418</v>
      </c>
      <c r="Z965">
        <v>7</v>
      </c>
    </row>
    <row r="966" spans="1:26" x14ac:dyDescent="0.25">
      <c r="A966" t="str">
        <v>SOYA PREPARADA</v>
      </c>
      <c r="B966" t="str">
        <v>Callao</v>
      </c>
      <c r="C966">
        <v>3</v>
      </c>
      <c r="X966" t="s">
        <v>105</v>
      </c>
      <c r="Y966" t="s">
        <v>418</v>
      </c>
      <c r="Z966">
        <v>1</v>
      </c>
    </row>
    <row r="967" spans="1:26" x14ac:dyDescent="0.25">
      <c r="A967" t="str">
        <v>DESODORANTE PARA HOMBRE</v>
      </c>
      <c r="B967" t="str">
        <v>Callao</v>
      </c>
      <c r="C967">
        <v>7</v>
      </c>
      <c r="X967" t="s">
        <v>647</v>
      </c>
      <c r="Y967" t="s">
        <v>418</v>
      </c>
      <c r="Z967">
        <v>3</v>
      </c>
    </row>
    <row r="968" spans="1:26" x14ac:dyDescent="0.25">
      <c r="A968" t="str">
        <v>APIO</v>
      </c>
      <c r="B968" t="str">
        <v>Callao</v>
      </c>
      <c r="C968">
        <v>1</v>
      </c>
      <c r="X968" t="s">
        <v>700</v>
      </c>
      <c r="Y968" t="s">
        <v>418</v>
      </c>
      <c r="Z968">
        <v>2</v>
      </c>
    </row>
    <row r="969" spans="1:26" x14ac:dyDescent="0.25">
      <c r="A969" t="str">
        <v>CHOCLO CRIOLLO</v>
      </c>
      <c r="B969" t="str">
        <v>Callao</v>
      </c>
      <c r="C969">
        <v>3</v>
      </c>
      <c r="X969" t="s">
        <v>92</v>
      </c>
      <c r="Y969" t="s">
        <v>418</v>
      </c>
      <c r="Z969">
        <v>4</v>
      </c>
    </row>
    <row r="970" spans="1:26" x14ac:dyDescent="0.25">
      <c r="A970" t="str">
        <v>UVA VERDE</v>
      </c>
      <c r="B970" t="str">
        <v>Callao</v>
      </c>
      <c r="C970">
        <v>2</v>
      </c>
      <c r="X970" t="s">
        <v>116</v>
      </c>
      <c r="Y970" t="s">
        <v>418</v>
      </c>
      <c r="Z970">
        <v>10</v>
      </c>
    </row>
    <row r="971" spans="1:26" x14ac:dyDescent="0.25">
      <c r="A971" t="str">
        <v>GRATED DE ATUN</v>
      </c>
      <c r="B971" t="str">
        <v>Callao</v>
      </c>
      <c r="C971">
        <v>4</v>
      </c>
      <c r="X971" t="s">
        <v>217</v>
      </c>
      <c r="Y971" t="s">
        <v>418</v>
      </c>
      <c r="Z971">
        <v>30</v>
      </c>
    </row>
    <row r="972" spans="1:26" x14ac:dyDescent="0.25">
      <c r="A972" t="str">
        <v>CARTERA</v>
      </c>
      <c r="B972" t="str">
        <v>Callao</v>
      </c>
      <c r="C972">
        <v>10</v>
      </c>
      <c r="X972" t="s">
        <v>172</v>
      </c>
      <c r="Y972" t="s">
        <v>418</v>
      </c>
      <c r="Z972">
        <v>4</v>
      </c>
    </row>
    <row r="973" spans="1:26" x14ac:dyDescent="0.25">
      <c r="A973" t="str">
        <v>POLLADA SERVIDA</v>
      </c>
      <c r="B973" t="str">
        <v>Callao</v>
      </c>
      <c r="C973">
        <v>30</v>
      </c>
      <c r="X973" t="s">
        <v>30</v>
      </c>
      <c r="Y973" t="s">
        <v>418</v>
      </c>
      <c r="Z973">
        <v>1</v>
      </c>
    </row>
    <row r="974" spans="1:26" x14ac:dyDescent="0.25">
      <c r="A974" t="str">
        <v>MANTEQUILLA ENVASADA</v>
      </c>
      <c r="B974" t="str">
        <v>Callao</v>
      </c>
      <c r="C974">
        <v>4</v>
      </c>
      <c r="X974" t="s">
        <v>21</v>
      </c>
      <c r="Y974" t="s">
        <v>418</v>
      </c>
      <c r="Z974">
        <v>2</v>
      </c>
    </row>
    <row r="975" spans="1:26" x14ac:dyDescent="0.25">
      <c r="A975" t="str">
        <v>CEBOLLA CHINA</v>
      </c>
      <c r="B975" t="str">
        <v>Callao</v>
      </c>
      <c r="C975">
        <v>1</v>
      </c>
      <c r="X975" t="s">
        <v>3</v>
      </c>
      <c r="Y975" t="s">
        <v>418</v>
      </c>
      <c r="Z975">
        <v>15</v>
      </c>
    </row>
    <row r="976" spans="1:26" x14ac:dyDescent="0.25">
      <c r="A976" t="str">
        <v>AJI ESCABECHE</v>
      </c>
      <c r="B976" t="str">
        <v>Callao</v>
      </c>
      <c r="C976">
        <v>2</v>
      </c>
      <c r="X976" t="s">
        <v>596</v>
      </c>
      <c r="Y976" t="s">
        <v>418</v>
      </c>
      <c r="Z976">
        <v>12</v>
      </c>
    </row>
    <row r="977" spans="1:26" x14ac:dyDescent="0.25">
      <c r="A977" t="str">
        <v>ARROZ CORRIENTE A GRANEL</v>
      </c>
      <c r="B977" t="str">
        <v>Callao</v>
      </c>
      <c r="C977">
        <v>15</v>
      </c>
      <c r="X977" t="s">
        <v>63</v>
      </c>
      <c r="Y977" t="s">
        <v>418</v>
      </c>
      <c r="Z977">
        <v>6</v>
      </c>
    </row>
    <row r="978" spans="1:26" x14ac:dyDescent="0.25">
      <c r="A978" t="str">
        <v>HUEVO DE GALLINA BLANCO A GRANEL</v>
      </c>
      <c r="B978" t="str">
        <v>Callao</v>
      </c>
      <c r="C978">
        <v>12</v>
      </c>
      <c r="X978" t="s">
        <v>25</v>
      </c>
      <c r="Y978" t="s">
        <v>418</v>
      </c>
      <c r="Z978">
        <v>6</v>
      </c>
    </row>
    <row r="979" spans="1:26" x14ac:dyDescent="0.25">
      <c r="A979" t="str">
        <v>GRANADILLA</v>
      </c>
      <c r="B979" t="str">
        <v>Callao</v>
      </c>
      <c r="C979">
        <v>6</v>
      </c>
      <c r="X979" t="s">
        <v>882</v>
      </c>
      <c r="Y979" t="s">
        <v>418</v>
      </c>
      <c r="Z979">
        <v>10</v>
      </c>
    </row>
    <row r="980" spans="1:26" x14ac:dyDescent="0.25">
      <c r="A980" t="str">
        <v>PALTA CRIOLLA</v>
      </c>
      <c r="B980" t="str">
        <v>Callao</v>
      </c>
      <c r="C980">
        <v>6</v>
      </c>
      <c r="X980" t="s">
        <v>883</v>
      </c>
      <c r="Y980" t="s">
        <v>418</v>
      </c>
      <c r="Z980">
        <v>17</v>
      </c>
    </row>
    <row r="981" spans="1:26" x14ac:dyDescent="0.25">
      <c r="A981" t="str">
        <v>PELOTA DE JUGUETE</v>
      </c>
      <c r="B981" t="str">
        <v>Callao</v>
      </c>
      <c r="C981">
        <v>10</v>
      </c>
      <c r="X981" t="s">
        <v>884</v>
      </c>
      <c r="Y981" t="s">
        <v>418</v>
      </c>
      <c r="Z981">
        <v>5</v>
      </c>
    </row>
    <row r="982" spans="1:26" x14ac:dyDescent="0.25">
      <c r="A982" t="str">
        <v>GEL PARA LA INFLAMACION MUSCULAR</v>
      </c>
      <c r="B982" t="str">
        <v>Callao</v>
      </c>
      <c r="C982">
        <v>17</v>
      </c>
      <c r="X982" t="s">
        <v>885</v>
      </c>
      <c r="Y982" t="s">
        <v>418</v>
      </c>
      <c r="Z982">
        <v>8</v>
      </c>
    </row>
    <row r="983" spans="1:26" x14ac:dyDescent="0.25">
      <c r="A983" t="str">
        <v>PAN BAGUETTE</v>
      </c>
      <c r="B983" t="str">
        <v>Callao</v>
      </c>
      <c r="C983">
        <v>5</v>
      </c>
      <c r="X983" t="s">
        <v>886</v>
      </c>
      <c r="Y983" t="s">
        <v>418</v>
      </c>
      <c r="Z983">
        <v>7</v>
      </c>
    </row>
    <row r="984" spans="1:26" x14ac:dyDescent="0.25">
      <c r="A984" t="str">
        <v>DESAYUNO ECONOMICO</v>
      </c>
      <c r="B984" t="str">
        <v>Callao</v>
      </c>
      <c r="C984">
        <v>8</v>
      </c>
      <c r="X984" t="s">
        <v>887</v>
      </c>
      <c r="Y984" t="s">
        <v>418</v>
      </c>
      <c r="Z984">
        <v>2</v>
      </c>
    </row>
    <row r="985" spans="1:26" x14ac:dyDescent="0.25">
      <c r="A985" t="str">
        <v>AREPA DE POLLO</v>
      </c>
      <c r="B985" t="str">
        <v>Callao</v>
      </c>
      <c r="C985">
        <v>7</v>
      </c>
      <c r="X985" t="s">
        <v>2</v>
      </c>
      <c r="Y985" t="s">
        <v>418</v>
      </c>
      <c r="Z985">
        <v>19</v>
      </c>
    </row>
    <row r="986" spans="1:26" x14ac:dyDescent="0.25">
      <c r="A986" t="str">
        <v>JUGO DE PAPAYA SERVIDO</v>
      </c>
      <c r="B986" t="str">
        <v>Callao</v>
      </c>
      <c r="C986">
        <v>2</v>
      </c>
      <c r="X986" t="s">
        <v>131</v>
      </c>
      <c r="Y986" t="s">
        <v>418</v>
      </c>
      <c r="Z986">
        <v>3</v>
      </c>
    </row>
    <row r="987" spans="1:26" x14ac:dyDescent="0.25">
      <c r="A987" t="str">
        <v>LECHE EVAPORADA</v>
      </c>
      <c r="B987" t="str">
        <v>Callao</v>
      </c>
      <c r="C987">
        <v>19</v>
      </c>
      <c r="X987" t="s">
        <v>80</v>
      </c>
      <c r="Y987" t="s">
        <v>418</v>
      </c>
      <c r="Z987">
        <v>6</v>
      </c>
    </row>
    <row r="988" spans="1:26" x14ac:dyDescent="0.25">
      <c r="A988" t="str">
        <v>PLATANO DE LA ISLA</v>
      </c>
      <c r="B988" t="str">
        <v>Callao</v>
      </c>
      <c r="C988">
        <v>3</v>
      </c>
      <c r="X988" t="s">
        <v>888</v>
      </c>
      <c r="Y988" t="s">
        <v>418</v>
      </c>
      <c r="Z988">
        <v>6</v>
      </c>
    </row>
    <row r="989" spans="1:26" x14ac:dyDescent="0.25">
      <c r="A989" t="str">
        <v>MANDARINA</v>
      </c>
      <c r="B989" t="str">
        <v>Callao</v>
      </c>
      <c r="C989">
        <v>6</v>
      </c>
      <c r="X989" t="s">
        <v>715</v>
      </c>
      <c r="Y989" t="s">
        <v>418</v>
      </c>
      <c r="Z989">
        <v>3</v>
      </c>
    </row>
    <row r="990" spans="1:26" x14ac:dyDescent="0.25">
      <c r="A990" t="str">
        <v>MOLLEJAS FRITAS SERVIDAS</v>
      </c>
      <c r="B990" t="str">
        <v>Callao</v>
      </c>
      <c r="C990">
        <v>6</v>
      </c>
      <c r="X990" t="s">
        <v>224</v>
      </c>
      <c r="Y990" t="s">
        <v>418</v>
      </c>
      <c r="Z990">
        <v>9</v>
      </c>
    </row>
    <row r="991" spans="1:26" x14ac:dyDescent="0.25">
      <c r="A991" t="str">
        <v>CERVEZA RUBIA</v>
      </c>
      <c r="B991" t="str">
        <v>Callao</v>
      </c>
      <c r="C991">
        <v>3</v>
      </c>
      <c r="X991" t="s">
        <v>889</v>
      </c>
      <c r="Y991" t="s">
        <v>418</v>
      </c>
      <c r="Z991">
        <v>125</v>
      </c>
    </row>
    <row r="992" spans="1:26" x14ac:dyDescent="0.25">
      <c r="A992" t="str">
        <v>MENU DE DESAYUNO</v>
      </c>
      <c r="B992" t="str">
        <v>Callao</v>
      </c>
      <c r="C992">
        <v>9</v>
      </c>
      <c r="X992" t="s">
        <v>79</v>
      </c>
      <c r="Y992" t="s">
        <v>418</v>
      </c>
      <c r="Z992">
        <v>20</v>
      </c>
    </row>
    <row r="993" spans="1:26" x14ac:dyDescent="0.25">
      <c r="A993" t="str">
        <v>LECHE EN POLVO MATERNIZADA</v>
      </c>
      <c r="B993" t="str">
        <v>Callao</v>
      </c>
      <c r="C993">
        <v>125</v>
      </c>
      <c r="X993" t="s">
        <v>890</v>
      </c>
      <c r="Y993" t="s">
        <v>418</v>
      </c>
      <c r="Z993">
        <v>9</v>
      </c>
    </row>
    <row r="994" spans="1:26" x14ac:dyDescent="0.25">
      <c r="A994" t="str">
        <v>HUMITAS</v>
      </c>
      <c r="B994" t="str">
        <v>Callao</v>
      </c>
      <c r="C994">
        <v>20</v>
      </c>
      <c r="X994" t="s">
        <v>184</v>
      </c>
      <c r="Y994" t="s">
        <v>418</v>
      </c>
      <c r="Z994">
        <v>8</v>
      </c>
    </row>
    <row r="995" spans="1:26" x14ac:dyDescent="0.25">
      <c r="A995" t="str">
        <v>SOPA WANTAN</v>
      </c>
      <c r="B995" t="str">
        <v>Callao</v>
      </c>
      <c r="C995">
        <v>9</v>
      </c>
      <c r="X995" t="s">
        <v>891</v>
      </c>
      <c r="Y995" t="s">
        <v>418</v>
      </c>
      <c r="Z995">
        <v>36</v>
      </c>
    </row>
    <row r="996" spans="1:26" x14ac:dyDescent="0.25">
      <c r="A996" t="str">
        <v>JABON DE TOCADOR EN BARRA</v>
      </c>
      <c r="B996" t="str">
        <v>Callao</v>
      </c>
      <c r="C996">
        <v>8</v>
      </c>
      <c r="X996" t="s">
        <v>607</v>
      </c>
      <c r="Y996" t="s">
        <v>418</v>
      </c>
      <c r="Z996">
        <v>20</v>
      </c>
    </row>
    <row r="997" spans="1:26" x14ac:dyDescent="0.25">
      <c r="A997" t="str">
        <v>PASTILLA PARA EL COLESTEROL</v>
      </c>
      <c r="B997" t="str">
        <v>Callao</v>
      </c>
      <c r="C997">
        <v>36</v>
      </c>
      <c r="X997" t="s">
        <v>890</v>
      </c>
      <c r="Y997" t="s">
        <v>418</v>
      </c>
      <c r="Z997">
        <v>10</v>
      </c>
    </row>
    <row r="998" spans="1:26" x14ac:dyDescent="0.25">
      <c r="A998" t="str">
        <v>FILETE DE PESCADO FRESCO</v>
      </c>
      <c r="B998" t="str">
        <v>Callao</v>
      </c>
      <c r="C998">
        <v>20</v>
      </c>
      <c r="X998" t="s">
        <v>18</v>
      </c>
      <c r="Y998" t="s">
        <v>418</v>
      </c>
      <c r="Z998">
        <v>0</v>
      </c>
    </row>
    <row r="999" spans="1:26" x14ac:dyDescent="0.25">
      <c r="A999" t="str">
        <v>SOPA WANTAN</v>
      </c>
      <c r="B999" t="str">
        <v>Callao</v>
      </c>
      <c r="C999">
        <v>10</v>
      </c>
      <c r="X999" t="s">
        <v>892</v>
      </c>
      <c r="Y999" t="s">
        <v>418</v>
      </c>
      <c r="Z999">
        <v>3</v>
      </c>
    </row>
    <row r="1000" spans="1:26" x14ac:dyDescent="0.25">
      <c r="A1000" t="str">
        <v>TOSTADA A GRANEL</v>
      </c>
      <c r="B1000" t="str">
        <v>Callao</v>
      </c>
      <c r="C1000">
        <v>0</v>
      </c>
      <c r="X1000" t="s">
        <v>209</v>
      </c>
      <c r="Y1000" t="s">
        <v>418</v>
      </c>
      <c r="Z1000">
        <v>2</v>
      </c>
    </row>
    <row r="1001" spans="1:26" x14ac:dyDescent="0.25">
      <c r="A1001" t="str">
        <v>CERA EN PASTA PARA PISO</v>
      </c>
      <c r="B1001" t="str">
        <v>Callao</v>
      </c>
      <c r="C1001">
        <v>3</v>
      </c>
      <c r="X1001" t="s">
        <v>644</v>
      </c>
      <c r="Y1001" t="s">
        <v>418</v>
      </c>
      <c r="Z1001">
        <v>2</v>
      </c>
    </row>
    <row r="1002" spans="1:26" x14ac:dyDescent="0.25">
      <c r="A1002" t="str">
        <v>SOPA AGUADITO</v>
      </c>
      <c r="B1002" t="str">
        <v>Callao</v>
      </c>
      <c r="C1002">
        <v>2</v>
      </c>
    </row>
    <row r="1003" spans="1:26" x14ac:dyDescent="0.25">
      <c r="A1003" t="str">
        <v>PI A HAWAIANA</v>
      </c>
      <c r="B1003" t="str">
        <v>Callao</v>
      </c>
      <c r="C1003">
        <v>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TextBox1">
          <controlPr defaultSize="0" autoLine="0" autoPict="0" linkedCell="A1" r:id="rId5">
            <anchor moveWithCells="1">
              <from>
                <xdr:col>0</xdr:col>
                <xdr:colOff>0</xdr:colOff>
                <xdr:row>0</xdr:row>
                <xdr:rowOff>38100</xdr:rowOff>
              </from>
              <to>
                <xdr:col>0</xdr:col>
                <xdr:colOff>4295775</xdr:colOff>
                <xdr:row>1</xdr:row>
                <xdr:rowOff>28575</xdr:rowOff>
              </to>
            </anchor>
          </controlPr>
        </control>
      </mc:Choice>
      <mc:Fallback>
        <control shapeId="4097" r:id="rId4" name="TextBox1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65F6A-E181-4DEA-A175-3DD28E721C7A}">
  <dimension ref="A1:AD50"/>
  <sheetViews>
    <sheetView showGridLines="0" zoomScale="220" zoomScaleNormal="220" workbookViewId="0">
      <selection activeCell="A4" sqref="A4"/>
    </sheetView>
  </sheetViews>
  <sheetFormatPr defaultRowHeight="15" x14ac:dyDescent="0.25"/>
  <sheetData>
    <row r="1" spans="1:30" x14ac:dyDescent="0.25">
      <c r="A1" s="29" t="s">
        <v>895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</row>
    <row r="2" spans="1:30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</row>
    <row r="3" spans="1:30" x14ac:dyDescent="0.25">
      <c r="A3" s="30"/>
      <c r="B3" s="6" t="s">
        <v>894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1:3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</row>
    <row r="5" spans="1:30" x14ac:dyDescent="0.25">
      <c r="A5" s="6" t="str">
        <f>IF(A3&lt;&gt;"", "Es un placer saludarle. " &amp; A3 &amp; " , A través de este documento, no solo deseo evidenciar", "")</f>
        <v/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</row>
    <row r="6" spans="1:30" x14ac:dyDescent="0.25">
      <c r="A6" s="6" t="str">
        <f>IF(A3&lt;&gt;"", "demostrar las habilidades que mostre en este archivo de excel, ademas que otras muchas. ", "")</f>
        <v/>
      </c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</row>
    <row r="7" spans="1:30" x14ac:dyDescent="0.25">
      <c r="A7" s="6" t="str">
        <f>IF(A3&lt;&gt;"", "las habilidades que he demostrado en el archivo de Excel, sino también resaltar otras competencias ", "")</f>
        <v/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x14ac:dyDescent="0.25">
      <c r="A8" s="6" t="str">
        <f>IF(A3&lt;&gt;"", "clave, especialmente en el ámbito del análisis de datos. ", "")</f>
        <v/>
      </c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</row>
    <row r="9" spans="1:30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</row>
    <row r="10" spans="1:30" x14ac:dyDescent="0.25">
      <c r="A10" s="6" t="str">
        <f>IF(A3&lt;&gt;"", "Mi conocimiento intermedio de Excel, que incluye el uso de tablas dinámicas, análisis de tendencias ", "")</f>
        <v/>
      </c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</row>
    <row r="11" spans="1:30" x14ac:dyDescent="0.25">
      <c r="A11" s="6" t="str">
        <f>IF(A3&lt;&gt;"", "y funciones complejas, me permite  gestionar y visualizar información de manera eficiente,", "")</f>
        <v/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</row>
    <row r="12" spans="1:30" x14ac:dyDescent="0.25">
      <c r="A12" s="6" t="str">
        <f>IF(A3&lt;&gt;"", "lo que aporta un valor significativo en el sector de Data Analytics y en diversos entornos profesionales ", "")</f>
        <v/>
      </c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</row>
    <row r="13" spans="1:30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</row>
    <row r="14" spans="1:30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</row>
    <row r="15" spans="1:30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</row>
    <row r="16" spans="1:30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</row>
    <row r="17" spans="1:30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</row>
    <row r="18" spans="1:30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</row>
    <row r="19" spans="1:30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</row>
    <row r="20" spans="1:30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</row>
    <row r="21" spans="1:30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</row>
    <row r="22" spans="1:30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</row>
    <row r="23" spans="1:30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</row>
    <row r="24" spans="1:30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</row>
    <row r="25" spans="1:30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</row>
    <row r="26" spans="1:30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</row>
    <row r="27" spans="1:30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</row>
    <row r="28" spans="1:30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</row>
    <row r="29" spans="1:30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</row>
    <row r="30" spans="1:30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</row>
    <row r="31" spans="1:30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</row>
    <row r="32" spans="1:30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</row>
    <row r="33" spans="1:30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</row>
    <row r="34" spans="1:30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</row>
    <row r="35" spans="1:30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</row>
    <row r="36" spans="1:30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</row>
    <row r="37" spans="1:30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</row>
    <row r="38" spans="1:30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</row>
    <row r="39" spans="1:30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</row>
    <row r="40" spans="1:30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</row>
    <row r="41" spans="1:30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</row>
    <row r="42" spans="1:30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</row>
    <row r="43" spans="1:30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</row>
    <row r="44" spans="1:30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</row>
    <row r="45" spans="1:30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</row>
    <row r="46" spans="1:30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</row>
    <row r="47" spans="1:30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</row>
    <row r="48" spans="1:30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</row>
    <row r="49" spans="1:30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</row>
    <row r="50" spans="1:30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C7FDC-8C25-497C-BCD9-E45889C205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Table</vt:lpstr>
      <vt:lpstr>Pivot</vt:lpstr>
      <vt:lpstr>Filtrar</vt:lpstr>
      <vt:lpstr>Mensaje Final</vt:lpstr>
      <vt:lpstr>tabla_01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Antony Zarate Davila</dc:creator>
  <cp:lastModifiedBy>Jorge Antony Zarate Davila</cp:lastModifiedBy>
  <dcterms:created xsi:type="dcterms:W3CDTF">2015-06-05T18:17:20Z</dcterms:created>
  <dcterms:modified xsi:type="dcterms:W3CDTF">2024-12-16T16:36:07Z</dcterms:modified>
</cp:coreProperties>
</file>